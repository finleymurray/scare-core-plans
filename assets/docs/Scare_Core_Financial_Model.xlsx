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Returns &amp; Valuation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cenario Analysis" sheetId="5" state="visible" r:id="rId5"/>
    <sheet xmlns:r="http://schemas.openxmlformats.org/officeDocument/2006/relationships" name="SC CapEx £15m" sheetId="6" state="visible" r:id="rId6"/>
    <sheet xmlns:r="http://schemas.openxmlformats.org/officeDocument/2006/relationships" name="IC CapEx £15m" sheetId="7" state="visible" r:id="rId7"/>
    <sheet xmlns:r="http://schemas.openxmlformats.org/officeDocument/2006/relationships" name="Off-Season Detail" sheetId="8" state="visible" r:id="rId8"/>
    <sheet xmlns:r="http://schemas.openxmlformats.org/officeDocument/2006/relationships" name="Revenue Model" sheetId="9" state="visible" r:id="rId9"/>
    <sheet xmlns:r="http://schemas.openxmlformats.org/officeDocument/2006/relationships" name="Annual P&amp;L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\£#,##0"/>
    <numFmt numFmtId="165" formatCode="\£#,##0;&quot;(£&quot;#,##0\);\-"/>
    <numFmt numFmtId="166" formatCode="0.0%"/>
    <numFmt numFmtId="167" formatCode="#,##0;\(#,##0\);\-"/>
    <numFmt numFmtId="168" formatCode="#,##0;(#,##0)"/>
    <numFmt numFmtId="169" formatCode="£#,##0"/>
    <numFmt numFmtId="170" formatCode="£#,##0;(£#,##0)"/>
    <numFmt numFmtId="171" formatCode="+0.0%;-0.0%"/>
    <numFmt numFmtId="172" formatCode="£#,##0.00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FF0000"/>
      <sz val="10"/>
    </font>
    <font>
      <name val="Arial"/>
      <charset val="1"/>
      <family val="0"/>
      <b val="1"/>
      <color rgb="FF1B3A5C"/>
      <sz val="14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color rgb="FFCC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B3A5C"/>
      <sz val="11"/>
    </font>
    <font>
      <name val="Arial"/>
      <charset val="1"/>
      <family val="0"/>
      <color rgb="FF666666"/>
      <sz val="9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sz val="11"/>
    </font>
    <font>
      <name val="Arial"/>
      <b val="1"/>
      <sz val="11"/>
    </font>
    <font>
      <name val="Arial"/>
      <color rgb="000000CC"/>
      <sz val="11"/>
    </font>
    <font>
      <name val="Arial"/>
      <color rgb="00000000"/>
      <sz val="11"/>
    </font>
    <font>
      <name val="Arial"/>
      <color rgb="00006600"/>
      <sz val="11"/>
    </font>
    <font>
      <name val="Arial"/>
      <b val="1"/>
      <color rgb="00006600"/>
      <sz val="11"/>
    </font>
    <font>
      <name val="Arial"/>
      <b val="1"/>
      <sz val="13"/>
    </font>
    <font>
      <name val="Arial"/>
      <i val="1"/>
      <color rgb="00666666"/>
      <sz val="10"/>
    </font>
    <font>
      <name val="Arial"/>
      <b val="1"/>
      <color rgb="001B3A5C"/>
      <sz val="11"/>
    </font>
    <font>
      <name val="Arial"/>
      <i val="1"/>
      <sz val="10"/>
    </font>
    <font>
      <name val="Arial"/>
      <b val="1"/>
      <color rgb="001B3A5C"/>
      <sz val="12"/>
    </font>
    <font>
      <name val="Arial"/>
      <b val="1"/>
      <color rgb="001B3A5C"/>
      <sz val="13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FFD6E4F0"/>
        <bgColor rgb="FFD5E8F0"/>
      </patternFill>
    </fill>
    <fill>
      <patternFill patternType="solid">
        <fgColor rgb="FFFFF2CC"/>
        <bgColor rgb="FFFFE0E0"/>
      </patternFill>
    </fill>
    <fill>
      <patternFill patternType="solid">
        <fgColor rgb="FFE2EFDA"/>
        <bgColor rgb="FFE8F0E8"/>
      </patternFill>
    </fill>
    <fill>
      <patternFill patternType="solid">
        <fgColor rgb="FF1F4E79"/>
        <bgColor rgb="FF1B3A5C"/>
      </patternFill>
    </fill>
    <fill>
      <patternFill patternType="solid">
        <fgColor rgb="FF1B3A5C"/>
        <bgColor rgb="FF1F4E79"/>
      </patternFill>
    </fill>
    <fill>
      <patternFill patternType="solid">
        <fgColor rgb="FFD5E8F0"/>
        <bgColor rgb="FFD6E4F0"/>
      </patternFill>
    </fill>
    <fill>
      <patternFill patternType="solid">
        <fgColor rgb="FFE8F0E8"/>
        <bgColor rgb="FFE2EFDA"/>
      </patternFill>
    </fill>
    <fill>
      <patternFill patternType="solid">
        <fgColor rgb="FFF2F7FB"/>
        <bgColor rgb="FFFFFFFF"/>
      </patternFill>
    </fill>
    <fill>
      <patternFill patternType="solid">
        <fgColor rgb="FFFFE0E0"/>
        <bgColor rgb="FFFFF2CC"/>
      </patternFill>
    </fill>
    <fill>
      <patternFill patternType="solid">
        <fgColor rgb="00F2F7FB"/>
        <bgColor rgb="00F2F7FB"/>
      </patternFill>
    </fill>
    <fill>
      <patternFill patternType="solid">
        <fgColor rgb="00E8F5E9"/>
        <bgColor rgb="00E8F5E9"/>
      </patternFill>
    </fill>
    <fill>
      <patternFill patternType="solid">
        <fgColor rgb="001B3A5C"/>
        <bgColor rgb="001B3A5C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165" fontId="12" fillId="4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right" vertical="bottom"/>
    </xf>
    <xf numFmtId="49" fontId="9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6" borderId="2" applyAlignment="1" pivotButton="0" quotePrefix="0" xfId="0">
      <alignment horizontal="general" vertical="bottom"/>
    </xf>
    <xf numFmtId="0" fontId="16" fillId="6" borderId="2" applyAlignment="1" pivotButton="0" quotePrefix="0" xfId="0">
      <alignment horizontal="center" vertical="bottom"/>
    </xf>
    <xf numFmtId="0" fontId="10" fillId="7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0" fontId="10" fillId="8" borderId="2" applyAlignment="1" pivotButton="0" quotePrefix="0" xfId="0">
      <alignment horizontal="general" vertical="bottom"/>
    </xf>
    <xf numFmtId="3" fontId="10" fillId="8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7" fontId="7" fillId="0" borderId="2" applyAlignment="1" pivotButton="0" quotePrefix="0" xfId="0">
      <alignment horizontal="general" vertical="bottom"/>
    </xf>
    <xf numFmtId="167" fontId="10" fillId="8" borderId="2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3" fontId="10" fillId="3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3" fontId="17" fillId="0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9" borderId="2" applyAlignment="1" pivotButton="0" quotePrefix="0" xfId="0">
      <alignment horizontal="general" vertical="bottom"/>
    </xf>
    <xf numFmtId="0" fontId="9" fillId="9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0" fillId="9" borderId="2" applyAlignment="1" pivotButton="0" quotePrefix="0" xfId="0">
      <alignment horizontal="general" vertical="bottom"/>
    </xf>
    <xf numFmtId="0" fontId="17" fillId="10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 wrapText="1"/>
    </xf>
    <xf numFmtId="166" fontId="9" fillId="9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3" fontId="9" fillId="9" borderId="2" applyAlignment="1" pivotButton="0" quotePrefix="0" xfId="0">
      <alignment horizontal="general" vertical="bottom"/>
    </xf>
    <xf numFmtId="0" fontId="20" fillId="7" borderId="2" applyAlignment="1" pivotButton="0" quotePrefix="0" xfId="0">
      <alignment horizontal="general" vertical="bottom"/>
    </xf>
    <xf numFmtId="3" fontId="20" fillId="7" borderId="2" applyAlignment="1" pivotButton="0" quotePrefix="0" xfId="0">
      <alignment horizontal="general" vertical="bottom"/>
    </xf>
    <xf numFmtId="167" fontId="18" fillId="0" borderId="2" applyAlignment="1" pivotButton="0" quotePrefix="0" xfId="0">
      <alignment horizontal="general" vertical="bottom"/>
    </xf>
    <xf numFmtId="0" fontId="10" fillId="7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4" fontId="23" fillId="4" borderId="1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4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0" fontId="25" fillId="0" borderId="0" pivotButton="0" quotePrefix="0" xfId="0"/>
    <xf numFmtId="3" fontId="28" fillId="0" borderId="0" pivotButton="0" quotePrefix="0" xfId="0"/>
    <xf numFmtId="165" fontId="12" fillId="4" borderId="0" applyAlignment="1" pivotButton="0" quotePrefix="0" xfId="0">
      <alignment horizontal="general" vertical="bottom"/>
    </xf>
    <xf numFmtId="168" fontId="28" fillId="0" borderId="0" pivotButton="0" quotePrefix="0" xfId="0"/>
    <xf numFmtId="166" fontId="8" fillId="0" borderId="0" applyAlignment="1" pivotButton="0" quotePrefix="0" xfId="0">
      <alignment horizontal="general" vertical="bottom"/>
    </xf>
    <xf numFmtId="166" fontId="27" fillId="0" borderId="0" pivotButton="0" quotePrefix="0" xfId="0"/>
    <xf numFmtId="165" fontId="8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right" vertical="bottom"/>
    </xf>
    <xf numFmtId="0" fontId="26" fillId="0" borderId="0" pivotButton="0" quotePrefix="0" xfId="0"/>
    <xf numFmtId="49" fontId="9" fillId="0" borderId="0" applyAlignment="1" pivotButton="0" quotePrefix="0" xfId="0">
      <alignment horizontal="right" vertical="bottom"/>
    </xf>
    <xf numFmtId="0" fontId="27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3" fontId="26" fillId="0" borderId="0" pivotButton="0" quotePrefix="0" xfId="0"/>
    <xf numFmtId="3" fontId="27" fillId="0" borderId="0" pivotButton="0" quotePrefix="0" xfId="0"/>
    <xf numFmtId="0" fontId="33" fillId="0" borderId="0" pivotButton="0" quotePrefix="0" xfId="0"/>
    <xf numFmtId="168" fontId="27" fillId="0" borderId="0" pivotButton="0" quotePrefix="0" xfId="0"/>
    <xf numFmtId="3" fontId="25" fillId="0" borderId="0" pivotButton="0" quotePrefix="0" xfId="0"/>
    <xf numFmtId="3" fontId="32" fillId="11" borderId="0" pivotButton="0" quotePrefix="0" xfId="0"/>
    <xf numFmtId="0" fontId="34" fillId="0" borderId="0" pivotButton="0" quotePrefix="0" xfId="0"/>
    <xf numFmtId="3" fontId="34" fillId="12" borderId="0" pivotButton="0" quotePrefix="0" xfId="0"/>
    <xf numFmtId="0" fontId="35" fillId="0" borderId="0" pivotButton="0" quotePrefix="0" xfId="0"/>
    <xf numFmtId="169" fontId="35" fillId="12" borderId="0" pivotButton="0" quotePrefix="0" xfId="0"/>
    <xf numFmtId="169" fontId="26" fillId="0" borderId="0" pivotButton="0" quotePrefix="0" xfId="0"/>
    <xf numFmtId="169" fontId="25" fillId="0" borderId="0" pivotButton="0" quotePrefix="0" xfId="0"/>
    <xf numFmtId="166" fontId="25" fillId="0" borderId="0" pivotButton="0" quotePrefix="0" xfId="0"/>
    <xf numFmtId="170" fontId="25" fillId="0" borderId="0" pivotButton="0" quotePrefix="0" xfId="0"/>
    <xf numFmtId="169" fontId="27" fillId="0" borderId="0" pivotButton="0" quotePrefix="0" xfId="0"/>
    <xf numFmtId="171" fontId="27" fillId="0" borderId="0" pivotButton="0" quotePrefix="0" xfId="0"/>
    <xf numFmtId="0" fontId="36" fillId="13" borderId="0" pivotButton="0" quotePrefix="0" xfId="0"/>
    <xf numFmtId="169" fontId="27" fillId="11" borderId="0" pivotButton="0" quotePrefix="0" xfId="0"/>
    <xf numFmtId="170" fontId="27" fillId="0" borderId="0" pivotButton="0" quotePrefix="0" xfId="0"/>
    <xf numFmtId="170" fontId="27" fillId="11" borderId="0" pivotButton="0" quotePrefix="0" xfId="0"/>
    <xf numFmtId="166" fontId="27" fillId="11" borderId="0" pivotButton="0" quotePrefix="0" xfId="0"/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6" borderId="2" applyAlignment="1" pivotButton="0" quotePrefix="0" xfId="0">
      <alignment horizontal="general" vertical="bottom"/>
    </xf>
    <xf numFmtId="0" fontId="16" fillId="6" borderId="2" applyAlignment="1" pivotButton="0" quotePrefix="0" xfId="0">
      <alignment horizontal="center" vertical="bottom"/>
    </xf>
    <xf numFmtId="0" fontId="10" fillId="7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0" fontId="10" fillId="8" borderId="2" applyAlignment="1" pivotButton="0" quotePrefix="0" xfId="0">
      <alignment horizontal="general" vertical="bottom"/>
    </xf>
    <xf numFmtId="3" fontId="10" fillId="8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7" fontId="7" fillId="0" borderId="2" applyAlignment="1" pivotButton="0" quotePrefix="0" xfId="0">
      <alignment horizontal="general" vertical="bottom"/>
    </xf>
    <xf numFmtId="167" fontId="10" fillId="8" borderId="2" applyAlignment="1" pivotButton="0" quotePrefix="0" xfId="0">
      <alignment horizontal="general" vertical="bottom"/>
    </xf>
    <xf numFmtId="168" fontId="25" fillId="0" borderId="0" pivotButton="0" quotePrefix="0" xfId="0"/>
    <xf numFmtId="0" fontId="10" fillId="3" borderId="2" applyAlignment="1" pivotButton="0" quotePrefix="0" xfId="0">
      <alignment horizontal="general" vertical="bottom"/>
    </xf>
    <xf numFmtId="3" fontId="10" fillId="3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3" fontId="17" fillId="0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9" borderId="2" applyAlignment="1" pivotButton="0" quotePrefix="0" xfId="0">
      <alignment horizontal="general" vertical="bottom"/>
    </xf>
    <xf numFmtId="0" fontId="9" fillId="9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0" fillId="9" borderId="2" applyAlignment="1" pivotButton="0" quotePrefix="0" xfId="0">
      <alignment horizontal="general" vertical="bottom"/>
    </xf>
    <xf numFmtId="0" fontId="17" fillId="10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 wrapText="1"/>
    </xf>
    <xf numFmtId="0" fontId="0" fillId="0" borderId="5" pivotButton="0" quotePrefix="0" xfId="0"/>
    <xf numFmtId="0" fontId="0" fillId="0" borderId="6" pivotButton="0" quotePrefix="0" xfId="0"/>
    <xf numFmtId="166" fontId="9" fillId="9" borderId="2" applyAlignment="1" pivotButton="0" quotePrefix="0" xfId="0">
      <alignment horizontal="general" vertical="bottom"/>
    </xf>
    <xf numFmtId="166" fontId="26" fillId="0" borderId="0" pivotButton="0" quotePrefix="0" xfId="0"/>
    <xf numFmtId="166" fontId="9" fillId="0" borderId="2" applyAlignment="1" pivotButton="0" quotePrefix="0" xfId="0">
      <alignment horizontal="general" vertical="bottom"/>
    </xf>
    <xf numFmtId="3" fontId="9" fillId="9" borderId="2" applyAlignment="1" pivotButton="0" quotePrefix="0" xfId="0">
      <alignment horizontal="general" vertical="bottom"/>
    </xf>
    <xf numFmtId="0" fontId="20" fillId="7" borderId="2" applyAlignment="1" pivotButton="0" quotePrefix="0" xfId="0">
      <alignment horizontal="general" vertical="bottom"/>
    </xf>
    <xf numFmtId="3" fontId="20" fillId="7" borderId="2" applyAlignment="1" pivotButton="0" quotePrefix="0" xfId="0">
      <alignment horizontal="general" vertical="bottom"/>
    </xf>
    <xf numFmtId="167" fontId="18" fillId="0" borderId="2" applyAlignment="1" pivotButton="0" quotePrefix="0" xfId="0">
      <alignment horizontal="general" vertical="bottom"/>
    </xf>
    <xf numFmtId="0" fontId="10" fillId="7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4" fontId="23" fillId="4" borderId="1" applyAlignment="1" pivotButton="0" quotePrefix="0" xfId="0">
      <alignment horizontal="general" vertical="bottom"/>
    </xf>
    <xf numFmtId="3" fontId="29" fillId="0" borderId="0" pivotButton="0" quotePrefix="0" xfId="0"/>
    <xf numFmtId="164" fontId="12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4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8" fontId="28" fillId="0" borderId="0" pivotButton="0" quotePrefix="0" xfId="0"/>
    <xf numFmtId="168" fontId="27" fillId="0" borderId="0" pivotButton="0" quotePrefix="0" xfId="0"/>
    <xf numFmtId="169" fontId="35" fillId="12" borderId="0" pivotButton="0" quotePrefix="0" xfId="0"/>
    <xf numFmtId="169" fontId="26" fillId="0" borderId="0" pivotButton="0" quotePrefix="0" xfId="0"/>
    <xf numFmtId="169" fontId="25" fillId="0" borderId="0" pivotButton="0" quotePrefix="0" xfId="0"/>
    <xf numFmtId="169" fontId="27" fillId="0" borderId="0" pivotButton="0" quotePrefix="0" xfId="0"/>
    <xf numFmtId="169" fontId="27" fillId="11" borderId="0" pivotButton="0" quotePrefix="0" xfId="0"/>
    <xf numFmtId="168" fontId="25" fillId="0" borderId="0" pivotButton="0" quotePrefix="0" xfId="0"/>
    <xf numFmtId="0" fontId="36" fillId="13" borderId="2" applyAlignment="1" pivotButton="0" quotePrefix="0" xfId="0">
      <alignment horizontal="center" vertical="bottom"/>
    </xf>
    <xf numFmtId="0" fontId="32" fillId="7" borderId="2" applyAlignment="1" pivotButton="0" quotePrefix="0" xfId="0">
      <alignment horizontal="general" vertical="bottom"/>
    </xf>
    <xf numFmtId="0" fontId="27" fillId="0" borderId="2" applyAlignment="1" pivotButton="0" quotePrefix="0" xfId="0">
      <alignment horizontal="general" vertical="bottom"/>
    </xf>
    <xf numFmtId="0" fontId="26" fillId="0" borderId="2" applyAlignment="1" pivotButton="0" quotePrefix="0" xfId="0">
      <alignment horizontal="general" vertical="bottom"/>
    </xf>
    <xf numFmtId="0" fontId="27" fillId="9" borderId="2" applyAlignment="1" pivotButton="0" quotePrefix="0" xfId="0">
      <alignment horizontal="general" vertical="bottom"/>
    </xf>
    <xf numFmtId="0" fontId="26" fillId="9" borderId="2" applyAlignment="1" pivotButton="0" quotePrefix="0" xfId="0">
      <alignment horizontal="general" vertical="bottom"/>
    </xf>
    <xf numFmtId="0" fontId="32" fillId="0" borderId="2" applyAlignment="1" pivotButton="0" quotePrefix="0" xfId="0">
      <alignment horizontal="general" vertical="bottom"/>
    </xf>
    <xf numFmtId="0" fontId="27" fillId="7" borderId="2" applyAlignment="1" pivotButton="0" quotePrefix="0" xfId="0">
      <alignment horizontal="general" vertical="bottom"/>
    </xf>
    <xf numFmtId="0" fontId="25" fillId="7" borderId="2" applyAlignment="1" pivotButton="0" quotePrefix="0" xfId="0">
      <alignment horizontal="general" vertical="bottom"/>
    </xf>
    <xf numFmtId="0" fontId="25" fillId="0" borderId="2" applyAlignment="1" pivotButton="0" quotePrefix="0" xfId="0">
      <alignment horizontal="general" vertical="bottom"/>
    </xf>
    <xf numFmtId="0" fontId="25" fillId="9" borderId="2" applyAlignment="1" pivotButton="0" quotePrefix="0" xfId="0">
      <alignment horizontal="general" vertical="bottom"/>
    </xf>
    <xf numFmtId="0" fontId="32" fillId="9" borderId="2" applyAlignment="1" pivotButton="0" quotePrefix="0" xfId="0">
      <alignment horizontal="general" vertical="bottom"/>
    </xf>
    <xf numFmtId="0" fontId="27" fillId="10" borderId="2" applyAlignment="1" pivotButton="0" quotePrefix="0" xfId="0">
      <alignment horizontal="general" vertical="bottom"/>
    </xf>
    <xf numFmtId="0" fontId="27" fillId="0" borderId="2" applyAlignment="1" pivotButton="0" quotePrefix="0" xfId="0">
      <alignment horizontal="general" vertical="bottom" wrapText="1"/>
    </xf>
    <xf numFmtId="0" fontId="32" fillId="6" borderId="2" applyAlignment="1" pivotButton="0" quotePrefix="0" xfId="0">
      <alignment horizontal="general" vertical="bottom"/>
    </xf>
    <xf numFmtId="0" fontId="27" fillId="11" borderId="2" applyAlignment="1" pivotButton="0" quotePrefix="0" xfId="0">
      <alignment horizontal="general" vertical="bottom"/>
    </xf>
    <xf numFmtId="0" fontId="25" fillId="11" borderId="2" applyAlignment="1" pivotButton="0" quotePrefix="0" xfId="0">
      <alignment horizontal="general" vertical="bottom"/>
    </xf>
    <xf numFmtId="0" fontId="27" fillId="11" borderId="0" pivotButton="0" quotePrefix="0" xfId="0"/>
    <xf numFmtId="0" fontId="25" fillId="11" borderId="0" pivotButton="0" quotePrefix="0" xfId="0"/>
    <xf numFmtId="172" fontId="2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D5E8F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8"/>
      <rgbColor rgb="FFE2EFDA"/>
      <rgbColor rgb="FFF2F7FB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" customWidth="1" style="74" min="1" max="1"/>
    <col width="16" customWidth="1" style="74" min="2" max="6"/>
  </cols>
  <sheetData>
    <row r="1" ht="17.25" customHeight="1" s="75">
      <c r="A1" s="76" t="inlineStr">
        <is>
          <t>SCARE CORE — Financial Dashboard</t>
        </is>
      </c>
    </row>
    <row r="2" ht="15" customHeight="1" s="75">
      <c r="A2" s="77" t="inlineStr">
        <is>
          <t>Cowsland Farm, South Leverton, Retford</t>
        </is>
      </c>
    </row>
    <row r="4" ht="15" customHeight="1" s="75">
      <c r="A4" s="78" t="inlineStr">
        <is>
          <t>CAPITAL EXPENDITURE SUMMARY</t>
        </is>
      </c>
      <c r="B4" s="79" t="n"/>
      <c r="C4" s="79" t="n"/>
      <c r="D4" s="79" t="n"/>
      <c r="E4" s="79" t="n"/>
      <c r="F4" s="79" t="n"/>
    </row>
    <row r="5" ht="15" customHeight="1" s="75">
      <c r="A5" s="80" t="inlineStr">
        <is>
          <t>SC CapEx (Scare Core build)</t>
        </is>
      </c>
      <c r="B5" s="81">
        <f>'SC CapEx £15m'!B27</f>
        <v/>
      </c>
    </row>
    <row r="6" ht="15" customHeight="1" s="75">
      <c r="A6" s="80" t="inlineStr">
        <is>
          <t>IC CapEx (Immersive Core build)</t>
        </is>
      </c>
      <c r="B6" s="81">
        <f>'IC CapEx £15m'!B25</f>
        <v/>
      </c>
    </row>
    <row r="7" ht="15" customHeight="1" s="75">
      <c r="A7" s="80" t="inlineStr">
        <is>
          <t>Working Capital Reserve</t>
        </is>
      </c>
      <c r="B7" s="82" t="n">
        <v>2000000</v>
      </c>
    </row>
    <row r="8" ht="15" customHeight="1" s="75">
      <c r="A8" s="83" t="inlineStr">
        <is>
          <t>TOTAL INVESTMENT</t>
        </is>
      </c>
      <c r="B8" s="84">
        <f>SUM(B5:B7)</f>
        <v/>
      </c>
    </row>
    <row r="10" ht="15" customHeight="1" s="75">
      <c r="A10" s="83" t="inlineStr">
        <is>
          <t>Funding Source</t>
        </is>
      </c>
      <c r="B10" s="85" t="inlineStr">
        <is>
          <t>Private equity investment</t>
        </is>
      </c>
    </row>
    <row r="12" ht="15" customHeight="1" s="75">
      <c r="A12" s="78" t="inlineStr">
        <is>
          <t>OPERATING SUMMARY (from P&amp;L)</t>
        </is>
      </c>
      <c r="B12" s="79" t="n"/>
      <c r="C12" s="79" t="n"/>
      <c r="D12" s="79" t="n"/>
      <c r="E12" s="79" t="n"/>
      <c r="F12" s="79" t="n"/>
    </row>
    <row r="13" ht="15" customHeight="1" s="75">
      <c r="B13" s="86" t="inlineStr">
        <is>
          <t>Year 1</t>
        </is>
      </c>
      <c r="C13" s="86" t="inlineStr">
        <is>
          <t>Year 2</t>
        </is>
      </c>
      <c r="D13" s="86" t="inlineStr">
        <is>
          <t>Year 3</t>
        </is>
      </c>
      <c r="E13" s="86" t="inlineStr">
        <is>
          <t>Year 4</t>
        </is>
      </c>
      <c r="F13" s="86" t="inlineStr">
        <is>
          <t>Year 5</t>
        </is>
      </c>
      <c r="G13" s="87" t="inlineStr">
        <is>
          <t>Year 6</t>
        </is>
      </c>
      <c r="H13" s="87" t="inlineStr">
        <is>
          <t>Year 7</t>
        </is>
      </c>
      <c r="I13" s="87" t="inlineStr">
        <is>
          <t>Year 8</t>
        </is>
      </c>
      <c r="J13" s="87" t="inlineStr">
        <is>
          <t>Year 9</t>
        </is>
      </c>
      <c r="K13" s="87" t="inlineStr">
        <is>
          <t>Year 10</t>
        </is>
      </c>
    </row>
    <row r="14" ht="15" customHeight="1" s="75">
      <c r="A14" s="80" t="inlineStr">
        <is>
          <t>Total Revenue</t>
        </is>
      </c>
      <c r="B14" s="81">
        <f>'Annual P&amp;L'!B4</f>
        <v/>
      </c>
      <c r="C14" s="81">
        <f>'Annual P&amp;L'!C4</f>
        <v/>
      </c>
      <c r="D14" s="81">
        <f>'Annual P&amp;L'!D4</f>
        <v/>
      </c>
      <c r="E14" s="81">
        <f>'Annual P&amp;L'!E4</f>
        <v/>
      </c>
      <c r="F14" s="81">
        <f>'Annual P&amp;L'!F4</f>
        <v/>
      </c>
      <c r="G14" s="88" t="n">
        <v>3282614.36</v>
      </c>
      <c r="H14" s="88" t="n">
        <v>3497496</v>
      </c>
      <c r="I14" s="88" t="n">
        <v>3688432.76</v>
      </c>
      <c r="J14" s="88" t="n">
        <v>3883332.72</v>
      </c>
      <c r="K14" s="88" t="n">
        <v>4071415</v>
      </c>
    </row>
    <row r="15" ht="15" customHeight="1" s="75">
      <c r="A15" s="80" t="inlineStr">
        <is>
          <t>Total Operating Costs</t>
        </is>
      </c>
      <c r="B15" s="81">
        <f>'Annual P&amp;L'!B57</f>
        <v/>
      </c>
      <c r="C15" s="81">
        <f>'Annual P&amp;L'!C57</f>
        <v/>
      </c>
      <c r="D15" s="81">
        <f>'Annual P&amp;L'!D57</f>
        <v/>
      </c>
      <c r="E15" s="81">
        <f>'Annual P&amp;L'!E57</f>
        <v/>
      </c>
      <c r="F15" s="81">
        <f>'Annual P&amp;L'!F57</f>
        <v/>
      </c>
      <c r="G15" s="88" t="n">
        <v>2414391.5</v>
      </c>
      <c r="H15" s="88" t="n">
        <v>2503412.36</v>
      </c>
      <c r="I15" s="88" t="n">
        <v>2571595.15</v>
      </c>
      <c r="J15" s="88" t="n">
        <v>2642916.65</v>
      </c>
      <c r="K15" s="88" t="n">
        <v>2711499.53</v>
      </c>
    </row>
    <row r="16" ht="15" customHeight="1" s="75">
      <c r="A16" s="83" t="inlineStr">
        <is>
          <t>EBITDA</t>
        </is>
      </c>
      <c r="B16" s="89">
        <f>'Annual P&amp;L'!B58</f>
        <v/>
      </c>
      <c r="C16" s="89">
        <f>'Annual P&amp;L'!C58</f>
        <v/>
      </c>
      <c r="D16" s="89">
        <f>'Annual P&amp;L'!D58</f>
        <v/>
      </c>
      <c r="E16" s="89">
        <f>'Annual P&amp;L'!E58</f>
        <v/>
      </c>
      <c r="F16" s="89">
        <f>'Annual P&amp;L'!F58</f>
        <v/>
      </c>
      <c r="G16" s="183" t="n">
        <v>868222.8600000003</v>
      </c>
      <c r="H16" s="183" t="n">
        <v>994083.6400000001</v>
      </c>
      <c r="I16" s="183" t="n">
        <v>1116837.61</v>
      </c>
      <c r="J16" s="183" t="n">
        <v>1240416.07</v>
      </c>
      <c r="K16" s="183" t="n">
        <v>1359915.47</v>
      </c>
    </row>
    <row r="17" ht="15" customHeight="1" s="75">
      <c r="A17" s="80" t="inlineStr">
        <is>
          <t>EBITDA Margin</t>
        </is>
      </c>
      <c r="B17" s="91">
        <f>'Annual P&amp;L'!B59</f>
        <v/>
      </c>
      <c r="C17" s="91">
        <f>'Annual P&amp;L'!C59</f>
        <v/>
      </c>
      <c r="D17" s="91">
        <f>'Annual P&amp;L'!D59</f>
        <v/>
      </c>
      <c r="E17" s="91">
        <f>'Annual P&amp;L'!E59</f>
        <v/>
      </c>
      <c r="F17" s="91">
        <f>'Annual P&amp;L'!F59</f>
        <v/>
      </c>
      <c r="G17" s="92" t="n">
        <v>0.264491275789094</v>
      </c>
      <c r="H17" s="92" t="n">
        <v>0.2842272414321561</v>
      </c>
      <c r="I17" s="92" t="n">
        <v>0.3027946238065622</v>
      </c>
      <c r="J17" s="92" t="n">
        <v>0.3194204976595464</v>
      </c>
      <c r="K17" s="92" t="n">
        <v>0.3340154393497101</v>
      </c>
    </row>
    <row r="18" ht="15" customHeight="1" s="75">
      <c r="A18" s="80" t="inlineStr">
        <is>
          <t>Cumulative EBITDA</t>
        </is>
      </c>
      <c r="B18" s="93">
        <f>'Annual P&amp;L'!B60</f>
        <v/>
      </c>
      <c r="C18" s="93">
        <f>'Annual P&amp;L'!C60</f>
        <v/>
      </c>
      <c r="D18" s="93">
        <f>'Annual P&amp;L'!D60</f>
        <v/>
      </c>
      <c r="E18" s="93">
        <f>'Annual P&amp;L'!E60</f>
        <v/>
      </c>
      <c r="F18" s="93">
        <f>'Annual P&amp;L'!F60</f>
        <v/>
      </c>
      <c r="G18" s="183" t="n">
        <v>278444.1779999994</v>
      </c>
      <c r="H18" s="183" t="n">
        <v>1272527.818</v>
      </c>
      <c r="I18" s="183" t="n">
        <v>2389365.427999999</v>
      </c>
      <c r="J18" s="183" t="n">
        <v>3629781.497999999</v>
      </c>
      <c r="K18" s="183" t="n">
        <v>4989696.967999998</v>
      </c>
    </row>
    <row r="20" ht="15" customHeight="1" s="75">
      <c r="A20" s="78" t="inlineStr">
        <is>
          <t>WORKING CAPITAL ANALYSIS</t>
        </is>
      </c>
      <c r="B20" s="79" t="n"/>
      <c r="C20" s="79" t="n"/>
      <c r="D20" s="79" t="n"/>
      <c r="E20" s="79" t="n"/>
      <c r="F20" s="79" t="n"/>
    </row>
    <row r="21" ht="15" customHeight="1" s="75">
      <c r="A21" s="80" t="inlineStr">
        <is>
          <t>Working Capital Reserve</t>
        </is>
      </c>
      <c r="B21" s="81">
        <f>B7</f>
        <v/>
      </c>
    </row>
    <row r="22" ht="15" customHeight="1" s="75">
      <c r="A22" s="80" t="inlineStr">
        <is>
          <t>Max Cumulative Loss (worst point)</t>
        </is>
      </c>
      <c r="B22" s="94">
        <f>MIN(B18:F18)</f>
        <v/>
      </c>
    </row>
    <row r="23" ht="15" customHeight="1" s="75">
      <c r="A23" s="83" t="inlineStr">
        <is>
          <t>Headroom</t>
        </is>
      </c>
      <c r="B23" s="95">
        <f>B21+B22</f>
        <v/>
      </c>
    </row>
    <row r="25" ht="15" customHeight="1" s="75">
      <c r="A25" s="78" t="inlineStr">
        <is>
          <t>STAFFING SUMMARY</t>
        </is>
      </c>
      <c r="B25" s="79" t="n"/>
      <c r="C25" s="79" t="n"/>
      <c r="D25" s="79" t="n"/>
      <c r="E25" s="79" t="n"/>
      <c r="F25" s="79" t="n"/>
    </row>
    <row r="26" ht="15" customHeight="1" s="75">
      <c r="A26" s="80" t="inlineStr">
        <is>
          <t>Year-round permanent FTE</t>
        </is>
      </c>
      <c r="B26" s="96" t="n">
        <v>5</v>
      </c>
      <c r="C26" s="96" t="n">
        <v>8</v>
      </c>
      <c r="D26" s="96" t="n">
        <v>10</v>
      </c>
      <c r="E26" s="96" t="n">
        <v>11</v>
      </c>
      <c r="F26" s="96" t="n">
        <v>12</v>
      </c>
      <c r="G26" s="97" t="n">
        <v>13</v>
      </c>
      <c r="H26" s="97" t="n">
        <v>13</v>
      </c>
      <c r="I26" s="97" t="n">
        <v>13</v>
      </c>
      <c r="J26" s="97" t="n">
        <v>13</v>
      </c>
      <c r="K26" s="97" t="n">
        <v>13</v>
      </c>
    </row>
    <row r="27" ht="15" customHeight="1" s="75">
      <c r="A27" s="80" t="inlineStr">
        <is>
          <t>Seasonal scare staff (Oct-Dec)</t>
        </is>
      </c>
      <c r="B27" s="98" t="inlineStr">
        <is>
          <t>~130</t>
        </is>
      </c>
      <c r="C27" s="98" t="inlineStr">
        <is>
          <t>~140</t>
        </is>
      </c>
      <c r="D27" s="98" t="inlineStr">
        <is>
          <t>~150</t>
        </is>
      </c>
      <c r="E27" s="98" t="inlineStr">
        <is>
          <t>~160</t>
        </is>
      </c>
      <c r="F27" s="98" t="inlineStr">
        <is>
          <t>~170</t>
        </is>
      </c>
      <c r="G27" s="97" t="inlineStr">
        <is>
          <t>~175</t>
        </is>
      </c>
      <c r="H27" s="97" t="inlineStr">
        <is>
          <t>~180</t>
        </is>
      </c>
      <c r="I27" s="97" t="inlineStr">
        <is>
          <t>~180</t>
        </is>
      </c>
      <c r="J27" s="97" t="inlineStr">
        <is>
          <t>~185</t>
        </is>
      </c>
      <c r="K27" s="97" t="inlineStr">
        <is>
          <t>~185</t>
        </is>
      </c>
    </row>
    <row r="28" ht="15" customHeight="1" s="75">
      <c r="A28" s="80" t="inlineStr">
        <is>
          <t>Off-season programming</t>
        </is>
      </c>
      <c r="B28" s="98" t="inlineStr">
        <is>
          <t>None</t>
        </is>
      </c>
      <c r="C28" s="98" t="inlineStr">
        <is>
          <t>From Q2</t>
        </is>
      </c>
      <c r="D28" s="98" t="inlineStr">
        <is>
          <t>Full year</t>
        </is>
      </c>
      <c r="E28" s="98" t="inlineStr">
        <is>
          <t>Full year</t>
        </is>
      </c>
      <c r="F28" s="98" t="inlineStr">
        <is>
          <t>Full year</t>
        </is>
      </c>
      <c r="G28" s="99" t="inlineStr">
        <is>
          <t>Full year</t>
        </is>
      </c>
      <c r="H28" s="99" t="inlineStr">
        <is>
          <t>Full year</t>
        </is>
      </c>
      <c r="I28" s="99" t="inlineStr">
        <is>
          <t>Full year</t>
        </is>
      </c>
      <c r="J28" s="99" t="inlineStr">
        <is>
          <t>Full year</t>
        </is>
      </c>
      <c r="K28" s="99" t="inlineStr">
        <is>
          <t>Full year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2" customWidth="1" style="75" min="1" max="1"/>
    <col width="14" customWidth="1" style="75" min="2" max="2"/>
    <col width="14" customWidth="1" style="75" min="3" max="3"/>
    <col width="14" customWidth="1" style="75" min="4" max="4"/>
    <col width="14" customWidth="1" style="75" min="5" max="5"/>
    <col width="14" customWidth="1" style="75" min="6" max="6"/>
    <col width="14" customWidth="1" style="75" min="7" max="7"/>
    <col width="14" customWidth="1" style="75" min="8" max="8"/>
    <col width="14" customWidth="1" style="75" min="9" max="9"/>
    <col width="14" customWidth="1" style="75" min="10" max="10"/>
    <col width="14" customWidth="1" style="75" min="11" max="11"/>
  </cols>
  <sheetData>
    <row r="1">
      <c r="A1" s="100" t="inlineStr">
        <is>
          <t>SCARE CORE — Balance Sheet (10-Year)</t>
        </is>
      </c>
    </row>
    <row r="2">
      <c r="A2" s="101" t="inlineStr">
        <is>
          <t>Asset values at cost less depreciation</t>
        </is>
      </c>
    </row>
    <row r="4">
      <c r="B4" s="87" t="inlineStr">
        <is>
          <t>Year 1</t>
        </is>
      </c>
      <c r="C4" s="87" t="inlineStr">
        <is>
          <t>Year 2</t>
        </is>
      </c>
      <c r="D4" s="87" t="inlineStr">
        <is>
          <t>Year 3</t>
        </is>
      </c>
      <c r="E4" s="87" t="inlineStr">
        <is>
          <t>Year 4</t>
        </is>
      </c>
      <c r="F4" s="87" t="inlineStr">
        <is>
          <t>Year 5</t>
        </is>
      </c>
      <c r="G4" s="87" t="inlineStr">
        <is>
          <t>Year 6</t>
        </is>
      </c>
      <c r="H4" s="87" t="inlineStr">
        <is>
          <t>Year 7</t>
        </is>
      </c>
      <c r="I4" s="87" t="inlineStr">
        <is>
          <t>Year 8</t>
        </is>
      </c>
      <c r="J4" s="87" t="inlineStr">
        <is>
          <t>Year 9</t>
        </is>
      </c>
      <c r="K4" s="87" t="inlineStr">
        <is>
          <t>Year 10</t>
        </is>
      </c>
    </row>
    <row r="5">
      <c r="A5" s="102" t="inlineStr">
        <is>
          <t>FIXED ASSETS (at cost)</t>
        </is>
      </c>
    </row>
    <row r="6">
      <c r="A6" s="99" t="inlineStr">
        <is>
          <t>Land (301 acres, Cowsland Farm)</t>
        </is>
      </c>
      <c r="B6" s="103" t="n">
        <v>6550000</v>
      </c>
      <c r="C6" s="103" t="n">
        <v>6550000</v>
      </c>
      <c r="D6" s="103" t="n">
        <v>6550000</v>
      </c>
      <c r="E6" s="103" t="n">
        <v>6550000</v>
      </c>
      <c r="F6" s="103" t="n">
        <v>6550000</v>
      </c>
      <c r="G6" s="103" t="n">
        <v>6550000</v>
      </c>
      <c r="H6" s="103" t="n">
        <v>6550000</v>
      </c>
      <c r="I6" s="103" t="n">
        <v>6550000</v>
      </c>
      <c r="J6" s="103" t="n">
        <v>6550000</v>
      </c>
      <c r="K6" s="103" t="n">
        <v>6550000</v>
      </c>
    </row>
    <row r="7">
      <c r="A7" s="99" t="inlineStr">
        <is>
          <t>Buildings &amp; conversions (cost)</t>
        </is>
      </c>
      <c r="B7" s="104" t="n">
        <v>7200000</v>
      </c>
      <c r="C7" s="104" t="n">
        <v>7200000</v>
      </c>
      <c r="D7" s="104" t="n">
        <v>7200000</v>
      </c>
      <c r="E7" s="104" t="n">
        <v>7200000</v>
      </c>
      <c r="F7" s="104" t="n">
        <v>7200000</v>
      </c>
      <c r="G7" s="104" t="n">
        <v>7200000</v>
      </c>
      <c r="H7" s="104" t="n">
        <v>7200000</v>
      </c>
      <c r="I7" s="104" t="n">
        <v>7200000</v>
      </c>
      <c r="J7" s="104" t="n">
        <v>7200000</v>
      </c>
      <c r="K7" s="104" t="n">
        <v>7200000</v>
      </c>
    </row>
    <row r="8">
      <c r="A8" s="105" t="inlineStr">
        <is>
          <t xml:space="preserve">  Less: accumulated depreciation (25yr SL)</t>
        </is>
      </c>
      <c r="B8" s="184" t="n">
        <v>-288000</v>
      </c>
      <c r="C8" s="184" t="n">
        <v>-576000</v>
      </c>
      <c r="D8" s="184" t="n">
        <v>-864000</v>
      </c>
      <c r="E8" s="184" t="n">
        <v>-1152000</v>
      </c>
      <c r="F8" s="184" t="n">
        <v>-1440000</v>
      </c>
      <c r="G8" s="184" t="n">
        <v>-1728000</v>
      </c>
      <c r="H8" s="184" t="n">
        <v>-2016000</v>
      </c>
      <c r="I8" s="184" t="n">
        <v>-2304000</v>
      </c>
      <c r="J8" s="184" t="n">
        <v>-2592000</v>
      </c>
      <c r="K8" s="184" t="n">
        <v>-2880000</v>
      </c>
    </row>
    <row r="9">
      <c r="A9" s="87" t="inlineStr">
        <is>
          <t>Net buildings</t>
        </is>
      </c>
      <c r="B9" s="107" t="n">
        <v>6912000</v>
      </c>
      <c r="C9" s="107" t="n">
        <v>6624000</v>
      </c>
      <c r="D9" s="107" t="n">
        <v>6336000</v>
      </c>
      <c r="E9" s="107" t="n">
        <v>6048000</v>
      </c>
      <c r="F9" s="107" t="n">
        <v>5760000</v>
      </c>
      <c r="G9" s="107" t="n">
        <v>5472000</v>
      </c>
      <c r="H9" s="107" t="n">
        <v>5184000</v>
      </c>
      <c r="I9" s="107" t="n">
        <v>4896000</v>
      </c>
      <c r="J9" s="107" t="n">
        <v>4608000</v>
      </c>
      <c r="K9" s="107" t="n">
        <v>4320000</v>
      </c>
    </row>
    <row r="10">
      <c r="A10" s="99" t="inlineStr">
        <is>
          <t>Infrastructure (cost)</t>
        </is>
      </c>
      <c r="B10" s="104" t="n">
        <v>1160000</v>
      </c>
      <c r="C10" s="104" t="n">
        <v>1160000</v>
      </c>
      <c r="D10" s="104" t="n">
        <v>1160000</v>
      </c>
      <c r="E10" s="104" t="n">
        <v>1160000</v>
      </c>
      <c r="F10" s="104" t="n">
        <v>1160000</v>
      </c>
      <c r="G10" s="104" t="n">
        <v>1160000</v>
      </c>
      <c r="H10" s="104" t="n">
        <v>1160000</v>
      </c>
      <c r="I10" s="104" t="n">
        <v>1160000</v>
      </c>
      <c r="J10" s="104" t="n">
        <v>1160000</v>
      </c>
      <c r="K10" s="104" t="n">
        <v>1160000</v>
      </c>
    </row>
    <row r="11">
      <c r="A11" s="105" t="inlineStr">
        <is>
          <t xml:space="preserve">  Less: accumulated depreciation (20yr SL)</t>
        </is>
      </c>
      <c r="B11" s="184" t="n">
        <v>-58000</v>
      </c>
      <c r="C11" s="184" t="n">
        <v>-116000</v>
      </c>
      <c r="D11" s="184" t="n">
        <v>-174000</v>
      </c>
      <c r="E11" s="184" t="n">
        <v>-232000</v>
      </c>
      <c r="F11" s="184" t="n">
        <v>-290000</v>
      </c>
      <c r="G11" s="184" t="n">
        <v>-348000</v>
      </c>
      <c r="H11" s="184" t="n">
        <v>-406000</v>
      </c>
      <c r="I11" s="184" t="n">
        <v>-464000</v>
      </c>
      <c r="J11" s="184" t="n">
        <v>-522000</v>
      </c>
      <c r="K11" s="184" t="n">
        <v>-580000</v>
      </c>
    </row>
    <row r="12">
      <c r="A12" s="87" t="inlineStr">
        <is>
          <t>Net infrastructure</t>
        </is>
      </c>
      <c r="B12" s="107" t="n">
        <v>1102000</v>
      </c>
      <c r="C12" s="107" t="n">
        <v>1044000</v>
      </c>
      <c r="D12" s="107" t="n">
        <v>986000</v>
      </c>
      <c r="E12" s="107" t="n">
        <v>928000</v>
      </c>
      <c r="F12" s="107" t="n">
        <v>870000</v>
      </c>
      <c r="G12" s="107" t="n">
        <v>812000</v>
      </c>
      <c r="H12" s="107" t="n">
        <v>754000</v>
      </c>
      <c r="I12" s="107" t="n">
        <v>696000</v>
      </c>
      <c r="J12" s="107" t="n">
        <v>638000</v>
      </c>
      <c r="K12" s="107" t="n">
        <v>580000</v>
      </c>
    </row>
    <row r="13">
      <c r="A13" s="99" t="inlineStr">
        <is>
          <t>Creative &amp; technical assets (cost)</t>
        </is>
      </c>
      <c r="B13" s="104" t="n">
        <v>4350000</v>
      </c>
      <c r="C13" s="104" t="n">
        <v>4350000</v>
      </c>
      <c r="D13" s="104" t="n">
        <v>4350000</v>
      </c>
      <c r="E13" s="104" t="n">
        <v>4350000</v>
      </c>
      <c r="F13" s="104" t="n">
        <v>4350000</v>
      </c>
      <c r="G13" s="104" t="n">
        <v>4350000</v>
      </c>
      <c r="H13" s="104" t="n">
        <v>4350000</v>
      </c>
      <c r="I13" s="104" t="n">
        <v>4350000</v>
      </c>
      <c r="J13" s="104" t="n">
        <v>4350000</v>
      </c>
      <c r="K13" s="104" t="n">
        <v>4350000</v>
      </c>
    </row>
    <row r="14">
      <c r="A14" s="105" t="inlineStr">
        <is>
          <t xml:space="preserve">  Less: accumulated depreciation (7yr SL)</t>
        </is>
      </c>
      <c r="B14" s="184" t="n">
        <v>-621428.5714285715</v>
      </c>
      <c r="C14" s="184" t="n">
        <v>-1242857.142857143</v>
      </c>
      <c r="D14" s="184" t="n">
        <v>-1864285.714285715</v>
      </c>
      <c r="E14" s="184" t="n">
        <v>-2485714.285714286</v>
      </c>
      <c r="F14" s="184" t="n">
        <v>-3107142.857142857</v>
      </c>
      <c r="G14" s="184" t="n">
        <v>-3728571.428571429</v>
      </c>
      <c r="H14" s="184" t="n">
        <v>-4350000</v>
      </c>
      <c r="I14" s="184" t="n">
        <v>-4350000</v>
      </c>
      <c r="J14" s="184" t="n">
        <v>-4350000</v>
      </c>
      <c r="K14" s="184" t="n">
        <v>-4350000</v>
      </c>
    </row>
    <row r="15">
      <c r="A15" s="87" t="inlineStr">
        <is>
          <t>Net creative &amp; technical</t>
        </is>
      </c>
      <c r="B15" s="107" t="n">
        <v>3728571.428571429</v>
      </c>
      <c r="C15" s="107" t="n">
        <v>3107142.857142857</v>
      </c>
      <c r="D15" s="107" t="n">
        <v>2485714.285714285</v>
      </c>
      <c r="E15" s="107" t="n">
        <v>1864285.714285714</v>
      </c>
      <c r="F15" s="107" t="n">
        <v>1242857.142857143</v>
      </c>
      <c r="G15" s="107" t="n">
        <v>621428.5714285709</v>
      </c>
      <c r="H15" s="107" t="n">
        <v>0</v>
      </c>
      <c r="I15" s="107" t="n">
        <v>0</v>
      </c>
      <c r="J15" s="107" t="n">
        <v>0</v>
      </c>
      <c r="K15" s="107" t="n">
        <v>0</v>
      </c>
    </row>
    <row r="16">
      <c r="A16" s="99" t="inlineStr">
        <is>
          <t>IP, brand &amp; digital assets (cost)</t>
        </is>
      </c>
      <c r="B16" s="104" t="n">
        <v>2600000</v>
      </c>
      <c r="C16" s="104" t="n">
        <v>2600000</v>
      </c>
      <c r="D16" s="104" t="n">
        <v>2600000</v>
      </c>
      <c r="E16" s="104" t="n">
        <v>2600000</v>
      </c>
      <c r="F16" s="104" t="n">
        <v>2600000</v>
      </c>
      <c r="G16" s="104" t="n">
        <v>2600000</v>
      </c>
      <c r="H16" s="104" t="n">
        <v>2600000</v>
      </c>
      <c r="I16" s="104" t="n">
        <v>2600000</v>
      </c>
      <c r="J16" s="104" t="n">
        <v>2600000</v>
      </c>
      <c r="K16" s="104" t="n">
        <v>2600000</v>
      </c>
    </row>
    <row r="17">
      <c r="A17" s="105" t="inlineStr">
        <is>
          <t xml:space="preserve">  Less: accumulated amortisation (10yr SL)</t>
        </is>
      </c>
      <c r="B17" s="184" t="n">
        <v>-260000</v>
      </c>
      <c r="C17" s="184" t="n">
        <v>-520000</v>
      </c>
      <c r="D17" s="184" t="n">
        <v>-780000</v>
      </c>
      <c r="E17" s="184" t="n">
        <v>-1040000</v>
      </c>
      <c r="F17" s="184" t="n">
        <v>-1300000</v>
      </c>
      <c r="G17" s="184" t="n">
        <v>-1560000</v>
      </c>
      <c r="H17" s="184" t="n">
        <v>-1820000</v>
      </c>
      <c r="I17" s="184" t="n">
        <v>-2080000</v>
      </c>
      <c r="J17" s="184" t="n">
        <v>-2340000</v>
      </c>
      <c r="K17" s="184" t="n">
        <v>-2600000</v>
      </c>
    </row>
    <row r="18">
      <c r="A18" s="87" t="inlineStr">
        <is>
          <t>Net IP &amp; brand</t>
        </is>
      </c>
      <c r="B18" s="107" t="n">
        <v>2340000</v>
      </c>
      <c r="C18" s="107" t="n">
        <v>2080000</v>
      </c>
      <c r="D18" s="107" t="n">
        <v>1820000</v>
      </c>
      <c r="E18" s="107" t="n">
        <v>1560000</v>
      </c>
      <c r="F18" s="107" t="n">
        <v>1300000</v>
      </c>
      <c r="G18" s="107" t="n">
        <v>1040000</v>
      </c>
      <c r="H18" s="107" t="n">
        <v>780000</v>
      </c>
      <c r="I18" s="107" t="n">
        <v>520000</v>
      </c>
      <c r="J18" s="107" t="n">
        <v>260000</v>
      </c>
      <c r="K18" s="107" t="n">
        <v>0</v>
      </c>
    </row>
    <row r="19">
      <c r="A19" s="99" t="inlineStr">
        <is>
          <t>Expansion CapEx (cumulative cost)</t>
        </is>
      </c>
      <c r="B19" s="104" t="n">
        <v>0</v>
      </c>
      <c r="C19" s="104" t="n">
        <v>1420000</v>
      </c>
      <c r="D19" s="104" t="n">
        <v>2720000</v>
      </c>
      <c r="E19" s="104" t="n">
        <v>4020000</v>
      </c>
      <c r="F19" s="104" t="n">
        <v>5320000</v>
      </c>
      <c r="G19" s="104" t="n">
        <v>6620000</v>
      </c>
      <c r="H19" s="104" t="n">
        <v>6620000</v>
      </c>
      <c r="I19" s="104" t="n">
        <v>7920000</v>
      </c>
      <c r="J19" s="104" t="n">
        <v>7920000</v>
      </c>
      <c r="K19" s="104" t="n">
        <v>9220000</v>
      </c>
    </row>
    <row r="20">
      <c r="A20" s="105" t="inlineStr">
        <is>
          <t xml:space="preserve">  Less: accumulated depreciation (10yr SL)</t>
        </is>
      </c>
      <c r="B20" s="184" t="n">
        <v>0</v>
      </c>
      <c r="C20" s="184" t="n">
        <v>-142000</v>
      </c>
      <c r="D20" s="184" t="n">
        <v>-414000</v>
      </c>
      <c r="E20" s="184" t="n">
        <v>-816000</v>
      </c>
      <c r="F20" s="184" t="n">
        <v>-1348000</v>
      </c>
      <c r="G20" s="184" t="n">
        <v>-2010000</v>
      </c>
      <c r="H20" s="184" t="n">
        <v>-2672000</v>
      </c>
      <c r="I20" s="184" t="n">
        <v>-3464000</v>
      </c>
      <c r="J20" s="184" t="n">
        <v>-4256000</v>
      </c>
      <c r="K20" s="184" t="n">
        <v>-5178000</v>
      </c>
    </row>
    <row r="21">
      <c r="A21" s="87" t="inlineStr">
        <is>
          <t>Net expansion assets</t>
        </is>
      </c>
      <c r="B21" s="107" t="n">
        <v>0</v>
      </c>
      <c r="C21" s="107" t="n">
        <v>1278000</v>
      </c>
      <c r="D21" s="107" t="n">
        <v>2306000</v>
      </c>
      <c r="E21" s="107" t="n">
        <v>3204000</v>
      </c>
      <c r="F21" s="107" t="n">
        <v>3972000</v>
      </c>
      <c r="G21" s="107" t="n">
        <v>4610000</v>
      </c>
      <c r="H21" s="107" t="n">
        <v>3948000</v>
      </c>
      <c r="I21" s="107" t="n">
        <v>4456000</v>
      </c>
      <c r="J21" s="107" t="n">
        <v>3664000</v>
      </c>
      <c r="K21" s="107" t="n">
        <v>4042000</v>
      </c>
    </row>
    <row r="22">
      <c r="A22" s="99" t="inlineStr">
        <is>
          <t>Professional fees (capitalised)</t>
        </is>
      </c>
      <c r="B22" s="104" t="n">
        <v>550000</v>
      </c>
      <c r="C22" s="104" t="n">
        <v>550000</v>
      </c>
      <c r="D22" s="104" t="n">
        <v>550000</v>
      </c>
      <c r="E22" s="104" t="n">
        <v>550000</v>
      </c>
      <c r="F22" s="104" t="n">
        <v>550000</v>
      </c>
      <c r="G22" s="104" t="n">
        <v>550000</v>
      </c>
      <c r="H22" s="104" t="n">
        <v>550000</v>
      </c>
      <c r="I22" s="104" t="n">
        <v>550000</v>
      </c>
      <c r="J22" s="104" t="n">
        <v>550000</v>
      </c>
      <c r="K22" s="104" t="n">
        <v>550000</v>
      </c>
    </row>
    <row r="24">
      <c r="A24" s="102" t="inlineStr">
        <is>
          <t>TOTAL FIXED ASSETS (net book value)</t>
        </is>
      </c>
      <c r="B24" s="108" t="n">
        <v>21182571.42857143</v>
      </c>
      <c r="C24" s="108" t="n">
        <v>21233142.85714286</v>
      </c>
      <c r="D24" s="108" t="n">
        <v>21033714.28571428</v>
      </c>
      <c r="E24" s="108" t="n">
        <v>20704285.71428572</v>
      </c>
      <c r="F24" s="108" t="n">
        <v>20244857.14285714</v>
      </c>
      <c r="G24" s="108" t="n">
        <v>19655428.57142857</v>
      </c>
      <c r="H24" s="108" t="n">
        <v>17766000</v>
      </c>
      <c r="I24" s="108" t="n">
        <v>17668000</v>
      </c>
      <c r="J24" s="108" t="n">
        <v>16270000</v>
      </c>
      <c r="K24" s="108" t="n">
        <v>16042000</v>
      </c>
    </row>
    <row r="26">
      <c r="A26" s="102" t="inlineStr">
        <is>
          <t>CURRENT ASSETS</t>
        </is>
      </c>
    </row>
    <row r="27">
      <c r="A27" s="99" t="inlineStr">
        <is>
          <t>Cash / working capital reserve</t>
        </is>
      </c>
      <c r="B27" s="104" t="n">
        <v>1291309.2</v>
      </c>
      <c r="C27" s="104" t="n">
        <v>747047.1040000001</v>
      </c>
      <c r="D27" s="104" t="n">
        <v>605575.6399999999</v>
      </c>
      <c r="E27" s="104" t="n">
        <v>811637.0519999999</v>
      </c>
      <c r="F27" s="104" t="n">
        <v>1410221.317999999</v>
      </c>
      <c r="G27" s="104" t="n">
        <v>2278444.177999999</v>
      </c>
      <c r="H27" s="104" t="n">
        <v>3272527.818</v>
      </c>
      <c r="I27" s="104" t="n">
        <v>4389365.427999999</v>
      </c>
      <c r="J27" s="104" t="n">
        <v>5629781.498</v>
      </c>
      <c r="K27" s="104" t="n">
        <v>6989696.967999998</v>
      </c>
    </row>
    <row r="28">
      <c r="A28" s="99" t="inlineStr">
        <is>
          <t>Unallocated IC reserve</t>
        </is>
      </c>
      <c r="B28" s="104" t="n">
        <v>4500000</v>
      </c>
      <c r="C28" s="104" t="n">
        <v>3080000</v>
      </c>
      <c r="D28" s="104" t="n">
        <v>1780000</v>
      </c>
      <c r="E28" s="104" t="n">
        <v>480000</v>
      </c>
      <c r="F28" s="104" t="n">
        <v>0</v>
      </c>
      <c r="G28" s="104" t="n">
        <v>0</v>
      </c>
      <c r="H28" s="104" t="n">
        <v>0</v>
      </c>
      <c r="I28" s="104" t="n">
        <v>0</v>
      </c>
      <c r="J28" s="104" t="n">
        <v>0</v>
      </c>
      <c r="K28" s="104" t="n">
        <v>0</v>
      </c>
    </row>
    <row r="29">
      <c r="A29" s="87" t="inlineStr">
        <is>
          <t>TOTAL CURRENT ASSETS</t>
        </is>
      </c>
      <c r="B29" s="107" t="n">
        <v>5791309.2</v>
      </c>
      <c r="C29" s="107" t="n">
        <v>3827047.104</v>
      </c>
      <c r="D29" s="107" t="n">
        <v>2385575.64</v>
      </c>
      <c r="E29" s="107" t="n">
        <v>1291637.052</v>
      </c>
      <c r="F29" s="107" t="n">
        <v>1410221.317999999</v>
      </c>
      <c r="G29" s="107" t="n">
        <v>2278444.177999999</v>
      </c>
      <c r="H29" s="107" t="n">
        <v>3272527.818</v>
      </c>
      <c r="I29" s="107" t="n">
        <v>4389365.427999999</v>
      </c>
      <c r="J29" s="107" t="n">
        <v>5629781.498</v>
      </c>
      <c r="K29" s="107" t="n">
        <v>6989696.967999998</v>
      </c>
    </row>
    <row r="31">
      <c r="A31" s="109" t="inlineStr">
        <is>
          <t>TOTAL ASSETS</t>
        </is>
      </c>
      <c r="B31" s="110" t="n">
        <v>26973880.62857143</v>
      </c>
      <c r="C31" s="110" t="n">
        <v>25060189.96114286</v>
      </c>
      <c r="D31" s="110" t="n">
        <v>23419289.92571428</v>
      </c>
      <c r="E31" s="110" t="n">
        <v>21995922.76628572</v>
      </c>
      <c r="F31" s="110" t="n">
        <v>21655078.46085714</v>
      </c>
      <c r="G31" s="110" t="n">
        <v>21933872.74942857</v>
      </c>
      <c r="H31" s="110" t="n">
        <v>21038527.818</v>
      </c>
      <c r="I31" s="110" t="n">
        <v>22057365.428</v>
      </c>
      <c r="J31" s="110" t="n">
        <v>21899781.498</v>
      </c>
      <c r="K31" s="110" t="n">
        <v>23031696.968</v>
      </c>
    </row>
    <row r="33">
      <c r="A33" s="102" t="inlineStr">
        <is>
          <t>EQUITY &amp; LIABILITIES</t>
        </is>
      </c>
    </row>
    <row r="34">
      <c r="A34" s="99" t="inlineStr">
        <is>
          <t>Share capital (founder investment)</t>
        </is>
      </c>
      <c r="B34" s="103" t="n">
        <v>32020000</v>
      </c>
      <c r="C34" s="103" t="n">
        <v>32020000</v>
      </c>
      <c r="D34" s="103" t="n">
        <v>32020000</v>
      </c>
      <c r="E34" s="103" t="n">
        <v>32020000</v>
      </c>
      <c r="F34" s="103" t="n">
        <v>32020000</v>
      </c>
      <c r="G34" s="103" t="n">
        <v>32020000</v>
      </c>
      <c r="H34" s="103" t="n">
        <v>32020000</v>
      </c>
      <c r="I34" s="103" t="n">
        <v>32020000</v>
      </c>
      <c r="J34" s="103" t="n">
        <v>32020000</v>
      </c>
      <c r="K34" s="103" t="n">
        <v>32020000</v>
      </c>
    </row>
    <row r="35">
      <c r="A35" s="99" t="inlineStr">
        <is>
          <t>Retained earnings (cumulative P&amp;L)</t>
        </is>
      </c>
      <c r="B35" s="184" t="n">
        <v>-1936119.371428571</v>
      </c>
      <c r="C35" s="184" t="n">
        <v>-3849810.038857142</v>
      </c>
      <c r="D35" s="184" t="n">
        <v>-5490710.074285715</v>
      </c>
      <c r="E35" s="184" t="n">
        <v>-6914077.233714285</v>
      </c>
      <c r="F35" s="184" t="n">
        <v>-8074921.539142858</v>
      </c>
      <c r="G35" s="184" t="n">
        <v>-9096127.25057143</v>
      </c>
      <c r="H35" s="184" t="n">
        <v>-9991472.182</v>
      </c>
      <c r="I35" s="184" t="n">
        <v>-10272634.572</v>
      </c>
      <c r="J35" s="184" t="n">
        <v>-10430218.502</v>
      </c>
      <c r="K35" s="184" t="n">
        <v>-10598303.032</v>
      </c>
    </row>
    <row r="37">
      <c r="A37" s="109" t="inlineStr">
        <is>
          <t>TOTAL EQUITY</t>
        </is>
      </c>
      <c r="B37" s="110" t="n">
        <v>30083880.62857143</v>
      </c>
      <c r="C37" s="110" t="n">
        <v>28170189.96114286</v>
      </c>
      <c r="D37" s="110" t="n">
        <v>26529289.92571428</v>
      </c>
      <c r="E37" s="110" t="n">
        <v>25105922.76628571</v>
      </c>
      <c r="F37" s="110" t="n">
        <v>23945078.46085714</v>
      </c>
      <c r="G37" s="110" t="n">
        <v>22923872.74942857</v>
      </c>
      <c r="H37" s="110" t="n">
        <v>22028527.818</v>
      </c>
      <c r="I37" s="110" t="n">
        <v>21747365.428</v>
      </c>
      <c r="J37" s="110" t="n">
        <v>21589781.498</v>
      </c>
      <c r="K37" s="110" t="n">
        <v>21421696.968</v>
      </c>
    </row>
    <row r="39">
      <c r="A39" s="111" t="inlineStr">
        <is>
          <t>NET ASSET VALUE</t>
        </is>
      </c>
      <c r="B39" s="185" t="n">
        <v>26973880.62857143</v>
      </c>
      <c r="C39" s="185" t="n">
        <v>25060189.96114286</v>
      </c>
      <c r="D39" s="185" t="n">
        <v>23419289.92571428</v>
      </c>
      <c r="E39" s="185" t="n">
        <v>21995922.76628572</v>
      </c>
      <c r="F39" s="185" t="n">
        <v>21655078.46085714</v>
      </c>
      <c r="G39" s="185" t="n">
        <v>21933872.74942857</v>
      </c>
      <c r="H39" s="185" t="n">
        <v>21038527.818</v>
      </c>
      <c r="I39" s="185" t="n">
        <v>22057365.428</v>
      </c>
      <c r="J39" s="185" t="n">
        <v>21899781.498</v>
      </c>
      <c r="K39" s="185" t="n">
        <v>23031696.968</v>
      </c>
    </row>
    <row r="40">
      <c r="A40" s="101" t="inlineStr">
        <is>
          <t>(Total Assets = Total Equity, no debt)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2" customWidth="1" style="75" min="1" max="1"/>
    <col width="14" customWidth="1" style="75" min="2" max="2"/>
    <col width="14" customWidth="1" style="75" min="3" max="3"/>
    <col width="14" customWidth="1" style="75" min="4" max="4"/>
    <col width="14" customWidth="1" style="75" min="5" max="5"/>
    <col width="14" customWidth="1" style="75" min="6" max="6"/>
    <col width="14" customWidth="1" style="75" min="7" max="7"/>
    <col width="14" customWidth="1" style="75" min="8" max="8"/>
    <col width="14" customWidth="1" style="75" min="9" max="9"/>
    <col width="14" customWidth="1" style="75" min="10" max="10"/>
    <col width="14" customWidth="1" style="75" min="11" max="11"/>
  </cols>
  <sheetData>
    <row r="1">
      <c r="A1" s="100" t="inlineStr">
        <is>
          <t>SCARE CORE — Returns &amp; Valuation Analysis</t>
        </is>
      </c>
    </row>
    <row r="2">
      <c r="A2" s="101" t="inlineStr">
        <is>
          <t>Investment return metrics and enterprise value estimate</t>
        </is>
      </c>
    </row>
    <row r="4">
      <c r="A4" s="102" t="inlineStr">
        <is>
          <t>INVESTMENT SUMMARY</t>
        </is>
      </c>
    </row>
    <row r="5">
      <c r="A5" s="99" t="inlineStr">
        <is>
          <t>Total capital deployed</t>
        </is>
      </c>
      <c r="B5" s="186" t="n">
        <v>32020000</v>
      </c>
    </row>
    <row r="6">
      <c r="A6" s="99" t="inlineStr">
        <is>
          <t>Funding structure</t>
        </is>
      </c>
      <c r="B6" s="99" t="inlineStr">
        <is>
          <t>100% equity (zero debt)</t>
        </is>
      </c>
    </row>
    <row r="7">
      <c r="A7" s="99" t="inlineStr">
        <is>
          <t>Working capital reserve</t>
        </is>
      </c>
      <c r="B7" s="186" t="n">
        <v>2000000</v>
      </c>
    </row>
    <row r="8">
      <c r="A8" s="99" t="inlineStr">
        <is>
          <t>Unallocated IC reserve</t>
        </is>
      </c>
      <c r="B8" s="186" t="n">
        <v>4500000</v>
      </c>
    </row>
    <row r="10">
      <c r="A10" s="102" t="inlineStr">
        <is>
          <t>OPERATIONAL MILESTONES</t>
        </is>
      </c>
    </row>
    <row r="11">
      <c r="A11" s="99" t="inlineStr">
        <is>
          <t>EBITDA breakeven</t>
        </is>
      </c>
      <c r="B11" s="87" t="inlineStr">
        <is>
          <t>Year 4</t>
        </is>
      </c>
    </row>
    <row r="12">
      <c r="A12" s="99" t="inlineStr">
        <is>
          <t>Cumulative EBITDA turns positive</t>
        </is>
      </c>
      <c r="B12" s="87" t="inlineStr">
        <is>
          <t>Year 6</t>
        </is>
      </c>
    </row>
    <row r="13">
      <c r="A13" s="99" t="inlineStr">
        <is>
          <t>Year 10 EBITDA</t>
        </is>
      </c>
      <c r="B13" s="187" t="n">
        <v>1359915.47</v>
      </c>
    </row>
    <row r="14">
      <c r="A14" s="99" t="inlineStr">
        <is>
          <t>Year 10 EBITDA margin</t>
        </is>
      </c>
      <c r="B14" s="115" t="n">
        <v>0.3340154393497101</v>
      </c>
    </row>
    <row r="15">
      <c r="A15" s="99" t="inlineStr">
        <is>
          <t>Year 10 revenue</t>
        </is>
      </c>
      <c r="B15" s="187" t="n">
        <v>4071415</v>
      </c>
    </row>
    <row r="16">
      <c r="A16" s="99" t="inlineStr">
        <is>
          <t>Cumulative EBITDA (10 years)</t>
        </is>
      </c>
      <c r="B16" s="116" t="n">
        <v>4989696.967999998</v>
      </c>
    </row>
    <row r="17">
      <c r="A17" s="99" t="inlineStr">
        <is>
          <t>Total expansion CapEx (10 years)</t>
        </is>
      </c>
      <c r="B17" s="188" t="n">
        <v>9220000</v>
      </c>
    </row>
    <row r="18">
      <c r="A18" s="99" t="inlineStr">
        <is>
          <t>Cumulative free cash flow (EBITDA less expansion)</t>
        </is>
      </c>
      <c r="B18" s="116" t="n">
        <v>-4230303.032000002</v>
      </c>
    </row>
    <row r="20">
      <c r="A20" s="102" t="inlineStr">
        <is>
          <t>ENTERPRISE VALUE ESTIMATE (Year 10)</t>
        </is>
      </c>
    </row>
    <row r="21">
      <c r="A21" s="105" t="inlineStr">
        <is>
          <t>Valuation method: EBITDA multiple</t>
        </is>
      </c>
    </row>
    <row r="22">
      <c r="A22" s="87" t="inlineStr">
        <is>
          <t>EBITDA Multiple</t>
        </is>
      </c>
      <c r="B22" s="87" t="inlineStr">
        <is>
          <t>Enterprise Value</t>
        </is>
      </c>
      <c r="C22" s="87" t="inlineStr">
        <is>
          <t>Return on Investment</t>
        </is>
      </c>
      <c r="D22" s="87" t="inlineStr">
        <is>
          <t>Multiple of Money</t>
        </is>
      </c>
    </row>
    <row r="23">
      <c r="A23" s="99" t="inlineStr">
        <is>
          <t>6x EBITDA</t>
        </is>
      </c>
      <c r="B23" s="187" t="n">
        <v>8159492.819999998</v>
      </c>
      <c r="C23" s="118" t="n">
        <v>-0.7451751149281699</v>
      </c>
      <c r="D23" s="99" t="inlineStr">
        <is>
          <t>0.25x</t>
        </is>
      </c>
    </row>
    <row r="24">
      <c r="A24" s="99" t="inlineStr">
        <is>
          <t>8x EBITDA</t>
        </is>
      </c>
      <c r="B24" s="187" t="n">
        <v>10879323.76</v>
      </c>
      <c r="C24" s="118" t="n">
        <v>-0.6602334865708932</v>
      </c>
      <c r="D24" s="99" t="inlineStr">
        <is>
          <t>0.34x</t>
        </is>
      </c>
    </row>
    <row r="25">
      <c r="A25" s="99" t="inlineStr">
        <is>
          <t>10x EBITDA</t>
        </is>
      </c>
      <c r="B25" s="187" t="n">
        <v>13599154.7</v>
      </c>
      <c r="C25" s="118" t="n">
        <v>-0.5752918582136166</v>
      </c>
      <c r="D25" s="99" t="inlineStr">
        <is>
          <t>0.42x</t>
        </is>
      </c>
    </row>
    <row r="26">
      <c r="A26" s="99" t="inlineStr">
        <is>
          <t>12x EBITDA</t>
        </is>
      </c>
      <c r="B26" s="187" t="n">
        <v>16318985.64</v>
      </c>
      <c r="C26" s="118" t="n">
        <v>-0.4903502298563399</v>
      </c>
      <c r="D26" s="99" t="inlineStr">
        <is>
          <t>0.51x</t>
        </is>
      </c>
    </row>
    <row r="28">
      <c r="A28" s="102" t="inlineStr">
        <is>
          <t>ASSET-BACKED FLOOR VALUE</t>
        </is>
      </c>
    </row>
    <row r="29">
      <c r="A29" s="99" t="inlineStr">
        <is>
          <t>Net book value of assets (Year 10)</t>
        </is>
      </c>
      <c r="B29" s="187" t="n">
        <v>23031696.968</v>
      </c>
    </row>
    <row r="30">
      <c r="A30" s="99" t="inlineStr">
        <is>
          <t>Land at current market value (301 acres × £11k)</t>
        </is>
      </c>
      <c r="B30" s="188" t="n">
        <v>3311000</v>
      </c>
    </row>
    <row r="31">
      <c r="A31" s="99" t="inlineStr">
        <is>
          <t>Land with leisure planning (estimated premium)</t>
        </is>
      </c>
      <c r="B31" s="186" t="n">
        <v>7525000</v>
      </c>
    </row>
    <row r="32">
      <c r="A32" s="99" t="inlineStr">
        <is>
          <t>Liquidation floor (land + buildings at 50% of cost)</t>
        </is>
      </c>
      <c r="B32" s="187" t="n">
        <v>10730000</v>
      </c>
    </row>
    <row r="33">
      <c r="A33" s="99" t="inlineStr">
        <is>
          <t>Floor as % of investment</t>
        </is>
      </c>
      <c r="B33" s="92" t="n">
        <v>0.335103060587133</v>
      </c>
    </row>
    <row r="35">
      <c r="A35" s="102" t="inlineStr">
        <is>
          <t>KEY PERFORMANCE METRICS (10-YEAR)</t>
        </is>
      </c>
    </row>
    <row r="36">
      <c r="A36" s="119" t="inlineStr">
        <is>
          <t>Metric</t>
        </is>
      </c>
      <c r="B36" s="119" t="inlineStr">
        <is>
          <t>Y1</t>
        </is>
      </c>
      <c r="C36" s="119" t="inlineStr">
        <is>
          <t>Y2</t>
        </is>
      </c>
      <c r="D36" s="119" t="inlineStr">
        <is>
          <t>Y3</t>
        </is>
      </c>
      <c r="E36" s="119" t="inlineStr">
        <is>
          <t>Y4</t>
        </is>
      </c>
      <c r="F36" s="119" t="inlineStr">
        <is>
          <t>Y5</t>
        </is>
      </c>
      <c r="G36" s="119" t="inlineStr">
        <is>
          <t>Y6</t>
        </is>
      </c>
      <c r="H36" s="119" t="inlineStr">
        <is>
          <t>Y7</t>
        </is>
      </c>
      <c r="I36" s="119" t="inlineStr">
        <is>
          <t>Y8</t>
        </is>
      </c>
      <c r="J36" s="119" t="inlineStr">
        <is>
          <t>Y9</t>
        </is>
      </c>
      <c r="K36" s="119" t="inlineStr">
        <is>
          <t>Y10</t>
        </is>
      </c>
    </row>
    <row r="37">
      <c r="A37" s="87" t="inlineStr">
        <is>
          <t>Revenue</t>
        </is>
      </c>
      <c r="B37" s="188" t="n">
        <v>644880</v>
      </c>
      <c r="C37" s="189" t="n">
        <v>1150505.6</v>
      </c>
      <c r="D37" s="188" t="n">
        <v>1810910.4</v>
      </c>
      <c r="E37" s="189" t="n">
        <v>2335296.8</v>
      </c>
      <c r="F37" s="188" t="n">
        <v>2904232.4</v>
      </c>
      <c r="G37" s="189" t="n">
        <v>3282614.36</v>
      </c>
      <c r="H37" s="188" t="n">
        <v>3497496</v>
      </c>
      <c r="I37" s="189" t="n">
        <v>3688432.76</v>
      </c>
      <c r="J37" s="188" t="n">
        <v>3883332.72</v>
      </c>
      <c r="K37" s="189" t="n">
        <v>4071415</v>
      </c>
    </row>
    <row r="38">
      <c r="A38" s="87" t="inlineStr">
        <is>
          <t>EBITDA</t>
        </is>
      </c>
      <c r="B38" s="121" t="n">
        <v>-708690.8</v>
      </c>
      <c r="C38" s="122" t="n">
        <v>-544262.096</v>
      </c>
      <c r="D38" s="121" t="n">
        <v>-141471.464</v>
      </c>
      <c r="E38" s="122" t="n">
        <v>206061.412</v>
      </c>
      <c r="F38" s="121" t="n">
        <v>598584.2659999999</v>
      </c>
      <c r="G38" s="122" t="n">
        <v>868222.8600000003</v>
      </c>
      <c r="H38" s="121" t="n">
        <v>994083.6400000001</v>
      </c>
      <c r="I38" s="122" t="n">
        <v>1116837.61</v>
      </c>
      <c r="J38" s="121" t="n">
        <v>1240416.07</v>
      </c>
      <c r="K38" s="122" t="n">
        <v>1359915.47</v>
      </c>
    </row>
    <row r="39">
      <c r="A39" s="87" t="inlineStr">
        <is>
          <t>EBITDA Margin</t>
        </is>
      </c>
      <c r="B39" s="92" t="n">
        <v>-1.098949882148617</v>
      </c>
      <c r="C39" s="123" t="n">
        <v>-0.4730634044719121</v>
      </c>
      <c r="D39" s="92" t="n">
        <v>-0.07812173589593389</v>
      </c>
      <c r="E39" s="123" t="n">
        <v>0.08823778288053151</v>
      </c>
      <c r="F39" s="92" t="n">
        <v>0.20610756425691</v>
      </c>
      <c r="G39" s="123" t="n">
        <v>0.264491275789094</v>
      </c>
      <c r="H39" s="92" t="n">
        <v>0.2842272414321561</v>
      </c>
      <c r="I39" s="123" t="n">
        <v>0.3027946238065622</v>
      </c>
      <c r="J39" s="92" t="n">
        <v>0.3194204976595464</v>
      </c>
      <c r="K39" s="123" t="n">
        <v>0.3340154393497101</v>
      </c>
    </row>
    <row r="40">
      <c r="A40" s="87" t="inlineStr">
        <is>
          <t>Cumulative EBITDA</t>
        </is>
      </c>
      <c r="B40" s="121" t="n">
        <v>-708690.8</v>
      </c>
      <c r="C40" s="122" t="n">
        <v>-1252952.896</v>
      </c>
      <c r="D40" s="121" t="n">
        <v>-1394424.36</v>
      </c>
      <c r="E40" s="122" t="n">
        <v>-1188362.948</v>
      </c>
      <c r="F40" s="121" t="n">
        <v>-589778.682000001</v>
      </c>
      <c r="G40" s="122" t="n">
        <v>278444.1779999994</v>
      </c>
      <c r="H40" s="121" t="n">
        <v>1272527.818</v>
      </c>
      <c r="I40" s="122" t="n">
        <v>2389365.427999999</v>
      </c>
      <c r="J40" s="121" t="n">
        <v>3629781.497999999</v>
      </c>
      <c r="K40" s="122" t="n">
        <v>4989696.967999998</v>
      </c>
    </row>
    <row r="41">
      <c r="A41" s="87" t="inlineStr">
        <is>
          <t>Net Asset Value</t>
        </is>
      </c>
      <c r="B41" s="188" t="n">
        <v>26973880.62857143</v>
      </c>
      <c r="C41" s="189" t="n">
        <v>25060189.96114286</v>
      </c>
      <c r="D41" s="188" t="n">
        <v>23419289.92571428</v>
      </c>
      <c r="E41" s="189" t="n">
        <v>21995922.76628572</v>
      </c>
      <c r="F41" s="188" t="n">
        <v>21655078.46085714</v>
      </c>
      <c r="G41" s="189" t="n">
        <v>21933872.74942857</v>
      </c>
      <c r="H41" s="188" t="n">
        <v>21038527.818</v>
      </c>
      <c r="I41" s="189" t="n">
        <v>22057365.428</v>
      </c>
      <c r="J41" s="188" t="n">
        <v>21899781.498</v>
      </c>
      <c r="K41" s="189" t="n">
        <v>23031696.968</v>
      </c>
    </row>
    <row r="42">
      <c r="A42" s="87" t="inlineStr">
        <is>
          <t>Off-season % of revenue</t>
        </is>
      </c>
      <c r="B42" s="92" t="n">
        <v>0</v>
      </c>
      <c r="C42" s="123" t="n">
        <v>0.2082214984438146</v>
      </c>
      <c r="D42" s="92" t="n">
        <v>0.3450198309093592</v>
      </c>
      <c r="E42" s="123" t="n">
        <v>0.40557688427441</v>
      </c>
      <c r="F42" s="92" t="n">
        <v>0.4124884771618139</v>
      </c>
      <c r="G42" s="123" t="n">
        <v>0.4099779055374631</v>
      </c>
      <c r="H42" s="92" t="n">
        <v>0.4176519429900706</v>
      </c>
      <c r="I42" s="123" t="n">
        <v>0.4163171351942986</v>
      </c>
      <c r="J42" s="92" t="n">
        <v>0.4183496077050025</v>
      </c>
      <c r="K42" s="123" t="n">
        <v>0.4183567629435958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74" min="1" max="1"/>
    <col width="14" customWidth="1" style="74" min="2" max="21"/>
  </cols>
  <sheetData>
    <row r="1" ht="17.25" customHeight="1" s="75">
      <c r="A1" s="124" t="inlineStr">
        <is>
          <t>QUARTERLY CASH FLOW STATEMENT (10-YEAR)</t>
        </is>
      </c>
    </row>
    <row r="2" ht="15" customHeight="1" s="75">
      <c r="A2" s="125" t="inlineStr">
        <is>
          <t>All figures in GBP</t>
        </is>
      </c>
    </row>
    <row r="4" ht="15" customHeight="1" s="75">
      <c r="A4" s="126" t="inlineStr">
        <is>
          <t>Quarter</t>
        </is>
      </c>
      <c r="B4" s="127" t="inlineStr">
        <is>
          <t>Q1 Y1</t>
        </is>
      </c>
      <c r="C4" s="127" t="inlineStr">
        <is>
          <t>Q2 Y1</t>
        </is>
      </c>
      <c r="D4" s="127" t="inlineStr">
        <is>
          <t>Q3 Y1</t>
        </is>
      </c>
      <c r="E4" s="127" t="inlineStr">
        <is>
          <t>Q4 Y1</t>
        </is>
      </c>
      <c r="F4" s="127" t="inlineStr">
        <is>
          <t>Q1 Y2</t>
        </is>
      </c>
      <c r="G4" s="127" t="inlineStr">
        <is>
          <t>Q2 Y2</t>
        </is>
      </c>
      <c r="H4" s="127" t="inlineStr">
        <is>
          <t>Q3 Y2</t>
        </is>
      </c>
      <c r="I4" s="127" t="inlineStr">
        <is>
          <t>Q4 Y2</t>
        </is>
      </c>
      <c r="J4" s="127" t="inlineStr">
        <is>
          <t>Q1 Y3</t>
        </is>
      </c>
      <c r="K4" s="127" t="inlineStr">
        <is>
          <t>Q2 Y3</t>
        </is>
      </c>
      <c r="L4" s="127" t="inlineStr">
        <is>
          <t>Q3 Y3</t>
        </is>
      </c>
      <c r="M4" s="127" t="inlineStr">
        <is>
          <t>Q4 Y3</t>
        </is>
      </c>
      <c r="N4" s="127" t="inlineStr">
        <is>
          <t>Q1 Y4</t>
        </is>
      </c>
      <c r="O4" s="127" t="inlineStr">
        <is>
          <t>Q2 Y4</t>
        </is>
      </c>
      <c r="P4" s="127" t="inlineStr">
        <is>
          <t>Q3 Y4</t>
        </is>
      </c>
      <c r="Q4" s="127" t="inlineStr">
        <is>
          <t>Q4 Y4</t>
        </is>
      </c>
      <c r="R4" s="127" t="inlineStr">
        <is>
          <t>Q1 Y5</t>
        </is>
      </c>
      <c r="S4" s="127" t="inlineStr">
        <is>
          <t>Q2 Y5</t>
        </is>
      </c>
      <c r="T4" s="127" t="inlineStr">
        <is>
          <t>Q3 Y5</t>
        </is>
      </c>
      <c r="U4" s="127" t="inlineStr">
        <is>
          <t>Q4 Y5</t>
        </is>
      </c>
      <c r="V4" s="87" t="inlineStr">
        <is>
          <t>Q1 Y6</t>
        </is>
      </c>
      <c r="W4" s="87" t="inlineStr">
        <is>
          <t>Q2 Y6</t>
        </is>
      </c>
      <c r="X4" s="87" t="inlineStr">
        <is>
          <t>Q3 Y6</t>
        </is>
      </c>
      <c r="Y4" s="87" t="inlineStr">
        <is>
          <t>Q4 Y6</t>
        </is>
      </c>
      <c r="Z4" s="87" t="inlineStr">
        <is>
          <t>Q1 Y7</t>
        </is>
      </c>
      <c r="AA4" s="87" t="inlineStr">
        <is>
          <t>Q2 Y7</t>
        </is>
      </c>
      <c r="AB4" s="87" t="inlineStr">
        <is>
          <t>Q3 Y7</t>
        </is>
      </c>
      <c r="AC4" s="87" t="inlineStr">
        <is>
          <t>Q4 Y7</t>
        </is>
      </c>
      <c r="AD4" s="87" t="inlineStr">
        <is>
          <t>Q1 Y8</t>
        </is>
      </c>
      <c r="AE4" s="87" t="inlineStr">
        <is>
          <t>Q2 Y8</t>
        </is>
      </c>
      <c r="AF4" s="87" t="inlineStr">
        <is>
          <t>Q3 Y8</t>
        </is>
      </c>
      <c r="AG4" s="87" t="inlineStr">
        <is>
          <t>Q4 Y8</t>
        </is>
      </c>
      <c r="AH4" s="87" t="inlineStr">
        <is>
          <t>Q1 Y9</t>
        </is>
      </c>
      <c r="AI4" s="87" t="inlineStr">
        <is>
          <t>Q2 Y9</t>
        </is>
      </c>
      <c r="AJ4" s="87" t="inlineStr">
        <is>
          <t>Q3 Y9</t>
        </is>
      </c>
      <c r="AK4" s="87" t="inlineStr">
        <is>
          <t>Q4 Y9</t>
        </is>
      </c>
      <c r="AL4" s="87" t="inlineStr">
        <is>
          <t>Q1 Y10</t>
        </is>
      </c>
      <c r="AM4" s="87" t="inlineStr">
        <is>
          <t>Q2 Y10</t>
        </is>
      </c>
      <c r="AN4" s="87" t="inlineStr">
        <is>
          <t>Q3 Y10</t>
        </is>
      </c>
      <c r="AO4" s="87" t="inlineStr">
        <is>
          <t>Q4 Y10</t>
        </is>
      </c>
    </row>
    <row r="5" ht="15" customHeight="1" s="75">
      <c r="A5" s="128" t="inlineStr">
        <is>
          <t>CAPITAL EXPENDITURE</t>
        </is>
      </c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</row>
    <row r="6" ht="15" customHeight="1" s="75">
      <c r="A6" s="130" t="inlineStr">
        <is>
          <t>SC CapEx (Scare Core build)</t>
        </is>
      </c>
      <c r="B6" s="131" t="n">
        <v>4506000</v>
      </c>
      <c r="C6" s="131" t="n">
        <v>4506000</v>
      </c>
      <c r="D6" s="131" t="n">
        <v>3755000</v>
      </c>
      <c r="E6" s="131" t="n">
        <v>1502000</v>
      </c>
      <c r="F6" s="131" t="n">
        <v>751000</v>
      </c>
      <c r="G6" s="131" t="n">
        <v>0</v>
      </c>
      <c r="H6" s="131" t="n">
        <v>0</v>
      </c>
      <c r="I6" s="131" t="n">
        <v>0</v>
      </c>
      <c r="J6" s="131" t="n">
        <v>0</v>
      </c>
      <c r="K6" s="131" t="n">
        <v>0</v>
      </c>
      <c r="L6" s="131" t="n">
        <v>0</v>
      </c>
      <c r="M6" s="131" t="n">
        <v>0</v>
      </c>
      <c r="N6" s="131" t="n">
        <v>0</v>
      </c>
      <c r="O6" s="131" t="n">
        <v>0</v>
      </c>
      <c r="P6" s="131" t="n">
        <v>0</v>
      </c>
      <c r="Q6" s="131" t="n">
        <v>0</v>
      </c>
      <c r="R6" s="131" t="n">
        <v>0</v>
      </c>
      <c r="S6" s="131" t="n">
        <v>0</v>
      </c>
      <c r="T6" s="131" t="n">
        <v>0</v>
      </c>
      <c r="U6" s="131" t="n">
        <v>0</v>
      </c>
      <c r="V6" s="104" t="n">
        <v>0</v>
      </c>
      <c r="W6" s="104" t="n">
        <v>0</v>
      </c>
      <c r="X6" s="104" t="n">
        <v>0</v>
      </c>
      <c r="Y6" s="104" t="n">
        <v>0</v>
      </c>
      <c r="Z6" s="104" t="n">
        <v>0</v>
      </c>
      <c r="AA6" s="104" t="n">
        <v>0</v>
      </c>
      <c r="AB6" s="104" t="n">
        <v>0</v>
      </c>
      <c r="AC6" s="104" t="n">
        <v>0</v>
      </c>
      <c r="AD6" s="104" t="n">
        <v>0</v>
      </c>
      <c r="AE6" s="104" t="n">
        <v>0</v>
      </c>
      <c r="AF6" s="104" t="n">
        <v>0</v>
      </c>
      <c r="AG6" s="104" t="n">
        <v>0</v>
      </c>
      <c r="AH6" s="104" t="n">
        <v>0</v>
      </c>
      <c r="AI6" s="104" t="n">
        <v>0</v>
      </c>
      <c r="AJ6" s="104" t="n">
        <v>0</v>
      </c>
      <c r="AK6" s="104" t="n">
        <v>0</v>
      </c>
      <c r="AL6" s="104" t="n">
        <v>0</v>
      </c>
      <c r="AM6" s="104" t="n">
        <v>0</v>
      </c>
      <c r="AN6" s="104" t="n">
        <v>0</v>
      </c>
      <c r="AO6" s="104" t="n">
        <v>0</v>
      </c>
    </row>
    <row r="7" ht="15" customHeight="1" s="75">
      <c r="A7" s="130" t="inlineStr">
        <is>
          <t>IC CapEx (Immersive Core build)</t>
        </is>
      </c>
      <c r="B7" s="131" t="n">
        <v>6000000</v>
      </c>
      <c r="C7" s="131" t="n">
        <v>4500000</v>
      </c>
      <c r="D7" s="131" t="n">
        <v>3000000</v>
      </c>
      <c r="E7" s="131" t="n">
        <v>1500000</v>
      </c>
      <c r="F7" s="131" t="n">
        <v>0</v>
      </c>
      <c r="G7" s="131" t="n">
        <v>0</v>
      </c>
      <c r="H7" s="131" t="n">
        <v>0</v>
      </c>
      <c r="I7" s="131" t="n">
        <v>0</v>
      </c>
      <c r="J7" s="131" t="n">
        <v>0</v>
      </c>
      <c r="K7" s="131" t="n">
        <v>0</v>
      </c>
      <c r="L7" s="131" t="n">
        <v>0</v>
      </c>
      <c r="M7" s="131" t="n">
        <v>0</v>
      </c>
      <c r="N7" s="131" t="n">
        <v>0</v>
      </c>
      <c r="O7" s="131" t="n">
        <v>0</v>
      </c>
      <c r="P7" s="131" t="n">
        <v>0</v>
      </c>
      <c r="Q7" s="131" t="n">
        <v>0</v>
      </c>
      <c r="R7" s="131" t="n">
        <v>0</v>
      </c>
      <c r="S7" s="131" t="n">
        <v>0</v>
      </c>
      <c r="T7" s="131" t="n">
        <v>0</v>
      </c>
      <c r="U7" s="131" t="n">
        <v>0</v>
      </c>
      <c r="V7" s="104" t="n">
        <v>0</v>
      </c>
      <c r="W7" s="104" t="n">
        <v>0</v>
      </c>
      <c r="X7" s="104" t="n">
        <v>0</v>
      </c>
      <c r="Y7" s="104" t="n">
        <v>0</v>
      </c>
      <c r="Z7" s="104" t="n">
        <v>0</v>
      </c>
      <c r="AA7" s="104" t="n">
        <v>0</v>
      </c>
      <c r="AB7" s="104" t="n">
        <v>0</v>
      </c>
      <c r="AC7" s="104" t="n">
        <v>0</v>
      </c>
      <c r="AD7" s="104" t="n">
        <v>0</v>
      </c>
      <c r="AE7" s="104" t="n">
        <v>0</v>
      </c>
      <c r="AF7" s="104" t="n">
        <v>0</v>
      </c>
      <c r="AG7" s="104" t="n">
        <v>0</v>
      </c>
      <c r="AH7" s="104" t="n">
        <v>0</v>
      </c>
      <c r="AI7" s="104" t="n">
        <v>0</v>
      </c>
      <c r="AJ7" s="104" t="n">
        <v>0</v>
      </c>
      <c r="AK7" s="104" t="n">
        <v>0</v>
      </c>
      <c r="AL7" s="104" t="n">
        <v>0</v>
      </c>
      <c r="AM7" s="104" t="n">
        <v>0</v>
      </c>
      <c r="AN7" s="104" t="n">
        <v>0</v>
      </c>
      <c r="AO7" s="104" t="n">
        <v>0</v>
      </c>
    </row>
    <row r="8" ht="15" customHeight="1" s="75">
      <c r="A8" s="130" t="inlineStr">
        <is>
          <t>Annual expansion CapEx</t>
        </is>
      </c>
      <c r="B8" s="131" t="n">
        <v>0</v>
      </c>
      <c r="C8" s="131" t="n">
        <v>0</v>
      </c>
      <c r="D8" s="131" t="n">
        <v>0</v>
      </c>
      <c r="E8" s="131" t="n">
        <v>0</v>
      </c>
      <c r="F8" s="131" t="n">
        <v>300000</v>
      </c>
      <c r="G8" s="131" t="n">
        <v>0</v>
      </c>
      <c r="H8" s="131" t="n">
        <v>0</v>
      </c>
      <c r="I8" s="131" t="n">
        <v>0</v>
      </c>
      <c r="J8" s="131" t="n">
        <v>300000</v>
      </c>
      <c r="K8" s="131" t="n">
        <v>0</v>
      </c>
      <c r="L8" s="131" t="n">
        <v>0</v>
      </c>
      <c r="M8" s="131" t="n">
        <v>0</v>
      </c>
      <c r="N8" s="131" t="n">
        <v>300000</v>
      </c>
      <c r="O8" s="131" t="n">
        <v>0</v>
      </c>
      <c r="P8" s="131" t="n">
        <v>0</v>
      </c>
      <c r="Q8" s="131" t="n">
        <v>0</v>
      </c>
      <c r="R8" s="131" t="n">
        <v>300000</v>
      </c>
      <c r="S8" s="131" t="n">
        <v>0</v>
      </c>
      <c r="T8" s="131" t="n">
        <v>0</v>
      </c>
      <c r="U8" s="131" t="n">
        <v>0</v>
      </c>
      <c r="V8" s="103" t="n">
        <v>1300000</v>
      </c>
      <c r="W8" s="103" t="n">
        <v>0</v>
      </c>
      <c r="X8" s="103" t="n">
        <v>0</v>
      </c>
      <c r="Y8" s="103" t="n">
        <v>0</v>
      </c>
      <c r="Z8" s="103" t="n">
        <v>0</v>
      </c>
      <c r="AA8" s="103" t="n">
        <v>0</v>
      </c>
      <c r="AB8" s="103" t="n">
        <v>0</v>
      </c>
      <c r="AC8" s="103" t="n">
        <v>0</v>
      </c>
      <c r="AD8" s="103" t="n">
        <v>1300000</v>
      </c>
      <c r="AE8" s="103" t="n">
        <v>0</v>
      </c>
      <c r="AF8" s="103" t="n">
        <v>0</v>
      </c>
      <c r="AG8" s="103" t="n">
        <v>0</v>
      </c>
      <c r="AH8" s="103" t="n">
        <v>0</v>
      </c>
      <c r="AI8" s="103" t="n">
        <v>0</v>
      </c>
      <c r="AJ8" s="103" t="n">
        <v>0</v>
      </c>
      <c r="AK8" s="103" t="n">
        <v>0</v>
      </c>
      <c r="AL8" s="103" t="n">
        <v>1300000</v>
      </c>
      <c r="AM8" s="103" t="n">
        <v>0</v>
      </c>
      <c r="AN8" s="103" t="n">
        <v>0</v>
      </c>
      <c r="AO8" s="103" t="n">
        <v>0</v>
      </c>
    </row>
    <row r="9" ht="15" customHeight="1" s="75">
      <c r="A9" s="132" t="inlineStr">
        <is>
          <t>Total CapEx</t>
        </is>
      </c>
      <c r="B9" s="133">
        <f>SUM(B6:B8)</f>
        <v/>
      </c>
      <c r="C9" s="133">
        <f>SUM(C6:C8)</f>
        <v/>
      </c>
      <c r="D9" s="133">
        <f>SUM(D6:D8)</f>
        <v/>
      </c>
      <c r="E9" s="133">
        <f>SUM(E6:E8)</f>
        <v/>
      </c>
      <c r="F9" s="133">
        <f>SUM(F6:F8)</f>
        <v/>
      </c>
      <c r="G9" s="133">
        <f>SUM(G6:G8)</f>
        <v/>
      </c>
      <c r="H9" s="133">
        <f>SUM(H6:H8)</f>
        <v/>
      </c>
      <c r="I9" s="133">
        <f>SUM(I6:I8)</f>
        <v/>
      </c>
      <c r="J9" s="133">
        <f>SUM(J6:J8)</f>
        <v/>
      </c>
      <c r="K9" s="133">
        <f>SUM(K6:K8)</f>
        <v/>
      </c>
      <c r="L9" s="133">
        <f>SUM(L6:L8)</f>
        <v/>
      </c>
      <c r="M9" s="133">
        <f>SUM(M6:M8)</f>
        <v/>
      </c>
      <c r="N9" s="133">
        <f>SUM(N6:N8)</f>
        <v/>
      </c>
      <c r="O9" s="133">
        <f>SUM(O6:O8)</f>
        <v/>
      </c>
      <c r="P9" s="133">
        <f>SUM(P6:P8)</f>
        <v/>
      </c>
      <c r="Q9" s="133">
        <f>SUM(Q6:Q8)</f>
        <v/>
      </c>
      <c r="R9" s="133">
        <f>SUM(R6:R8)</f>
        <v/>
      </c>
      <c r="S9" s="133">
        <f>SUM(S6:S8)</f>
        <v/>
      </c>
      <c r="T9" s="133">
        <f>SUM(T6:T8)</f>
        <v/>
      </c>
      <c r="U9" s="133">
        <f>SUM(U6:U8)</f>
        <v/>
      </c>
      <c r="V9" s="107" t="n">
        <v>1300000</v>
      </c>
      <c r="W9" s="107" t="n">
        <v>0</v>
      </c>
      <c r="X9" s="107" t="n">
        <v>0</v>
      </c>
      <c r="Y9" s="107" t="n">
        <v>0</v>
      </c>
      <c r="Z9" s="107" t="n">
        <v>0</v>
      </c>
      <c r="AA9" s="107" t="n">
        <v>0</v>
      </c>
      <c r="AB9" s="107" t="n">
        <v>0</v>
      </c>
      <c r="AC9" s="107" t="n">
        <v>0</v>
      </c>
      <c r="AD9" s="107" t="n">
        <v>1300000</v>
      </c>
      <c r="AE9" s="107" t="n">
        <v>0</v>
      </c>
      <c r="AF9" s="107" t="n">
        <v>0</v>
      </c>
      <c r="AG9" s="107" t="n">
        <v>0</v>
      </c>
      <c r="AH9" s="107" t="n">
        <v>0</v>
      </c>
      <c r="AI9" s="107" t="n">
        <v>0</v>
      </c>
      <c r="AJ9" s="107" t="n">
        <v>0</v>
      </c>
      <c r="AK9" s="107" t="n">
        <v>0</v>
      </c>
      <c r="AL9" s="107" t="n">
        <v>1300000</v>
      </c>
      <c r="AM9" s="107" t="n">
        <v>0</v>
      </c>
      <c r="AN9" s="107" t="n">
        <v>0</v>
      </c>
      <c r="AO9" s="107" t="n">
        <v>0</v>
      </c>
    </row>
    <row r="10" ht="15" customHeight="1" s="7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9" t="n"/>
      <c r="U10" s="129" t="n"/>
    </row>
    <row r="11" ht="15" customHeight="1" s="75">
      <c r="A11" s="128" t="inlineStr">
        <is>
          <t>OPERATING REVENUE</t>
        </is>
      </c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29" t="n"/>
      <c r="U11" s="129" t="n"/>
    </row>
    <row r="12" ht="15" customHeight="1" s="75">
      <c r="A12" s="134" t="inlineStr">
        <is>
          <t>Scare season revenue</t>
        </is>
      </c>
      <c r="B12" s="135" t="n">
        <v>0</v>
      </c>
      <c r="C12" s="135" t="n">
        <v>0</v>
      </c>
      <c r="D12" s="135" t="n">
        <v>0</v>
      </c>
      <c r="E12" s="135" t="n">
        <v>644880</v>
      </c>
      <c r="F12" s="135" t="n">
        <v>0</v>
      </c>
      <c r="G12" s="135" t="n">
        <v>0</v>
      </c>
      <c r="H12" s="135" t="n">
        <v>0</v>
      </c>
      <c r="I12" s="135" t="n">
        <v>910946</v>
      </c>
      <c r="J12" s="135" t="n">
        <v>0</v>
      </c>
      <c r="K12" s="135" t="n">
        <v>0</v>
      </c>
      <c r="L12" s="135" t="n">
        <v>0</v>
      </c>
      <c r="M12" s="135" t="n">
        <v>1186110</v>
      </c>
      <c r="N12" s="135" t="n">
        <v>0</v>
      </c>
      <c r="O12" s="135" t="n">
        <v>0</v>
      </c>
      <c r="P12" s="135" t="n">
        <v>0</v>
      </c>
      <c r="Q12" s="135" t="n">
        <v>1388154</v>
      </c>
      <c r="R12" s="135" t="n">
        <v>0</v>
      </c>
      <c r="S12" s="135" t="n">
        <v>0</v>
      </c>
      <c r="T12" s="135" t="n">
        <v>0</v>
      </c>
      <c r="U12" s="135" t="n">
        <v>1706270</v>
      </c>
      <c r="V12" s="104" t="n">
        <v>0</v>
      </c>
      <c r="W12" s="104" t="n">
        <v>0</v>
      </c>
      <c r="X12" s="104" t="n">
        <v>0</v>
      </c>
      <c r="Y12" s="104" t="n">
        <v>1936815</v>
      </c>
      <c r="Z12" s="104" t="n">
        <v>0</v>
      </c>
      <c r="AA12" s="104" t="n">
        <v>0</v>
      </c>
      <c r="AB12" s="104" t="n">
        <v>0</v>
      </c>
      <c r="AC12" s="104" t="n">
        <v>2036760</v>
      </c>
      <c r="AD12" s="104" t="n">
        <v>0</v>
      </c>
      <c r="AE12" s="104" t="n">
        <v>0</v>
      </c>
      <c r="AF12" s="104" t="n">
        <v>0</v>
      </c>
      <c r="AG12" s="104" t="n">
        <v>2152875</v>
      </c>
      <c r="AH12" s="104" t="n">
        <v>0</v>
      </c>
      <c r="AI12" s="104" t="n">
        <v>0</v>
      </c>
      <c r="AJ12" s="104" t="n">
        <v>0</v>
      </c>
      <c r="AK12" s="104" t="n">
        <v>2258742</v>
      </c>
      <c r="AL12" s="104" t="n">
        <v>0</v>
      </c>
      <c r="AM12" s="104" t="n">
        <v>0</v>
      </c>
      <c r="AN12" s="104" t="n">
        <v>0</v>
      </c>
      <c r="AO12" s="104" t="n">
        <v>2368111</v>
      </c>
    </row>
    <row r="13" ht="15" customHeight="1" s="75">
      <c r="A13" s="134" t="inlineStr">
        <is>
          <t>Off-season revenue</t>
        </is>
      </c>
      <c r="B13" s="135" t="n">
        <v>0</v>
      </c>
      <c r="C13" s="135" t="n">
        <v>0</v>
      </c>
      <c r="D13" s="135" t="n">
        <v>0</v>
      </c>
      <c r="E13" s="135" t="n">
        <v>0</v>
      </c>
      <c r="F13" s="135" t="n">
        <v>0</v>
      </c>
      <c r="G13" s="135" t="n">
        <v>100000</v>
      </c>
      <c r="H13" s="135" t="n">
        <v>139560</v>
      </c>
      <c r="I13" s="135" t="n">
        <v>0</v>
      </c>
      <c r="J13" s="135" t="n">
        <v>200000</v>
      </c>
      <c r="K13" s="135" t="n">
        <v>210000</v>
      </c>
      <c r="L13" s="135" t="n">
        <v>214800</v>
      </c>
      <c r="M13" s="135" t="n">
        <v>0</v>
      </c>
      <c r="N13" s="135" t="n">
        <v>310000</v>
      </c>
      <c r="O13" s="135" t="n">
        <v>320000</v>
      </c>
      <c r="P13" s="135" t="n">
        <v>317142</v>
      </c>
      <c r="Q13" s="135" t="n">
        <v>0</v>
      </c>
      <c r="R13" s="135" t="n">
        <v>395000</v>
      </c>
      <c r="S13" s="135" t="n">
        <v>400000</v>
      </c>
      <c r="T13" s="135" t="n">
        <v>402962</v>
      </c>
      <c r="U13" s="135" t="n">
        <v>0</v>
      </c>
      <c r="V13" s="104" t="n">
        <v>444113</v>
      </c>
      <c r="W13" s="104" t="n">
        <v>457571</v>
      </c>
      <c r="X13" s="104" t="n">
        <v>444113</v>
      </c>
      <c r="Y13" s="104" t="n">
        <v>0</v>
      </c>
      <c r="Z13" s="104" t="n">
        <v>482042</v>
      </c>
      <c r="AA13" s="104" t="n">
        <v>496650</v>
      </c>
      <c r="AB13" s="104" t="n">
        <v>482042</v>
      </c>
      <c r="AC13" s="104" t="n">
        <v>0</v>
      </c>
      <c r="AD13" s="104" t="n">
        <v>506734</v>
      </c>
      <c r="AE13" s="104" t="n">
        <v>522089</v>
      </c>
      <c r="AF13" s="104" t="n">
        <v>506734</v>
      </c>
      <c r="AG13" s="104" t="n">
        <v>0</v>
      </c>
      <c r="AH13" s="104" t="n">
        <v>536114</v>
      </c>
      <c r="AI13" s="104" t="n">
        <v>552360</v>
      </c>
      <c r="AJ13" s="104" t="n">
        <v>536114</v>
      </c>
      <c r="AK13" s="104" t="n">
        <v>0</v>
      </c>
      <c r="AL13" s="104" t="n">
        <v>562090</v>
      </c>
      <c r="AM13" s="104" t="n">
        <v>579123</v>
      </c>
      <c r="AN13" s="104" t="n">
        <v>562090</v>
      </c>
      <c r="AO13" s="104" t="n">
        <v>0</v>
      </c>
    </row>
    <row r="14" ht="15" customHeight="1" s="75">
      <c r="A14" s="132" t="inlineStr">
        <is>
          <t>Total Revenue</t>
        </is>
      </c>
      <c r="B14" s="133">
        <f>SUM(B12:B13)</f>
        <v/>
      </c>
      <c r="C14" s="133">
        <f>SUM(C12:C13)</f>
        <v/>
      </c>
      <c r="D14" s="133">
        <f>SUM(D12:D13)</f>
        <v/>
      </c>
      <c r="E14" s="133">
        <f>SUM(E12:E13)</f>
        <v/>
      </c>
      <c r="F14" s="133">
        <f>SUM(F12:F13)</f>
        <v/>
      </c>
      <c r="G14" s="133">
        <f>SUM(G12:G13)</f>
        <v/>
      </c>
      <c r="H14" s="133">
        <f>SUM(H12:H13)</f>
        <v/>
      </c>
      <c r="I14" s="133">
        <f>SUM(I12:I13)</f>
        <v/>
      </c>
      <c r="J14" s="133">
        <f>SUM(J12:J13)</f>
        <v/>
      </c>
      <c r="K14" s="133">
        <f>SUM(K12:K13)</f>
        <v/>
      </c>
      <c r="L14" s="133">
        <f>SUM(L12:L13)</f>
        <v/>
      </c>
      <c r="M14" s="133">
        <f>SUM(M12:M13)</f>
        <v/>
      </c>
      <c r="N14" s="133">
        <f>SUM(N12:N13)</f>
        <v/>
      </c>
      <c r="O14" s="133">
        <f>SUM(O12:O13)</f>
        <v/>
      </c>
      <c r="P14" s="133">
        <f>SUM(P12:P13)</f>
        <v/>
      </c>
      <c r="Q14" s="133">
        <f>SUM(Q12:Q13)</f>
        <v/>
      </c>
      <c r="R14" s="133">
        <f>SUM(R12:R13)</f>
        <v/>
      </c>
      <c r="S14" s="133">
        <f>SUM(S12:S13)</f>
        <v/>
      </c>
      <c r="T14" s="133">
        <f>SUM(T12:T13)</f>
        <v/>
      </c>
      <c r="U14" s="133">
        <f>SUM(U12:U13)</f>
        <v/>
      </c>
      <c r="V14" s="107" t="n">
        <v>444113</v>
      </c>
      <c r="W14" s="107" t="n">
        <v>457571</v>
      </c>
      <c r="X14" s="107" t="n">
        <v>444113</v>
      </c>
      <c r="Y14" s="107" t="n">
        <v>1936815</v>
      </c>
      <c r="Z14" s="107" t="n">
        <v>482042</v>
      </c>
      <c r="AA14" s="107" t="n">
        <v>496650</v>
      </c>
      <c r="AB14" s="107" t="n">
        <v>482042</v>
      </c>
      <c r="AC14" s="107" t="n">
        <v>2036760</v>
      </c>
      <c r="AD14" s="107" t="n">
        <v>506734</v>
      </c>
      <c r="AE14" s="107" t="n">
        <v>522089</v>
      </c>
      <c r="AF14" s="107" t="n">
        <v>506734</v>
      </c>
      <c r="AG14" s="107" t="n">
        <v>2152875</v>
      </c>
      <c r="AH14" s="107" t="n">
        <v>536114</v>
      </c>
      <c r="AI14" s="107" t="n">
        <v>552360</v>
      </c>
      <c r="AJ14" s="107" t="n">
        <v>536114</v>
      </c>
      <c r="AK14" s="107" t="n">
        <v>2258742</v>
      </c>
      <c r="AL14" s="107" t="n">
        <v>562090</v>
      </c>
      <c r="AM14" s="107" t="n">
        <v>579123</v>
      </c>
      <c r="AN14" s="107" t="n">
        <v>562090</v>
      </c>
      <c r="AO14" s="107" t="n">
        <v>2368111</v>
      </c>
    </row>
    <row r="15" ht="15" customHeight="1" s="7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</row>
    <row r="16" ht="15" customHeight="1" s="75">
      <c r="A16" s="128" t="inlineStr">
        <is>
          <t>OPERATING COSTS</t>
        </is>
      </c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</row>
    <row r="17" ht="15" customHeight="1" s="75">
      <c r="A17" s="130" t="inlineStr">
        <is>
          <t>People costs (quarterly)</t>
        </is>
      </c>
      <c r="B17" s="131" t="n">
        <v>69000</v>
      </c>
      <c r="C17" s="131" t="n">
        <v>69000</v>
      </c>
      <c r="D17" s="131" t="n">
        <v>160000</v>
      </c>
      <c r="E17" s="131" t="n">
        <v>311000</v>
      </c>
      <c r="F17" s="131" t="n">
        <v>120000</v>
      </c>
      <c r="G17" s="131" t="n">
        <v>160000</v>
      </c>
      <c r="H17" s="131" t="n">
        <v>160000</v>
      </c>
      <c r="I17" s="131" t="n">
        <v>360000</v>
      </c>
      <c r="J17" s="131" t="n">
        <v>135000</v>
      </c>
      <c r="K17" s="131" t="n">
        <v>180000</v>
      </c>
      <c r="L17" s="131" t="n">
        <v>180000</v>
      </c>
      <c r="M17" s="131" t="n">
        <v>405000</v>
      </c>
      <c r="N17" s="131" t="n">
        <v>148000</v>
      </c>
      <c r="O17" s="131" t="n">
        <v>198000</v>
      </c>
      <c r="P17" s="131" t="n">
        <v>198000</v>
      </c>
      <c r="Q17" s="131" t="n">
        <v>446000</v>
      </c>
      <c r="R17" s="131" t="n">
        <v>161000</v>
      </c>
      <c r="S17" s="131" t="n">
        <v>215000</v>
      </c>
      <c r="T17" s="131" t="n">
        <v>215000</v>
      </c>
      <c r="U17" s="131" t="n">
        <v>484000</v>
      </c>
      <c r="V17" s="104" t="n">
        <v>213370</v>
      </c>
      <c r="W17" s="104" t="n">
        <v>213370</v>
      </c>
      <c r="X17" s="104" t="n">
        <v>247060</v>
      </c>
      <c r="Y17" s="104" t="n">
        <v>449200</v>
      </c>
      <c r="Z17" s="104" t="n">
        <v>220400</v>
      </c>
      <c r="AA17" s="104" t="n">
        <v>220400</v>
      </c>
      <c r="AB17" s="104" t="n">
        <v>255200</v>
      </c>
      <c r="AC17" s="104" t="n">
        <v>464000</v>
      </c>
      <c r="AD17" s="104" t="n">
        <v>225530</v>
      </c>
      <c r="AE17" s="104" t="n">
        <v>225530</v>
      </c>
      <c r="AF17" s="104" t="n">
        <v>261140</v>
      </c>
      <c r="AG17" s="104" t="n">
        <v>474800</v>
      </c>
      <c r="AH17" s="104" t="n">
        <v>231230</v>
      </c>
      <c r="AI17" s="104" t="n">
        <v>231230</v>
      </c>
      <c r="AJ17" s="104" t="n">
        <v>267740</v>
      </c>
      <c r="AK17" s="104" t="n">
        <v>486800</v>
      </c>
      <c r="AL17" s="104" t="n">
        <v>236550</v>
      </c>
      <c r="AM17" s="104" t="n">
        <v>236550</v>
      </c>
      <c r="AN17" s="104" t="n">
        <v>273900</v>
      </c>
      <c r="AO17" s="104" t="n">
        <v>498000</v>
      </c>
    </row>
    <row r="18" ht="15" customHeight="1" s="75">
      <c r="A18" s="130" t="inlineStr">
        <is>
          <t>Site &amp; facilities</t>
        </is>
      </c>
      <c r="B18" s="131" t="n">
        <v>63750</v>
      </c>
      <c r="C18" s="131" t="n">
        <v>63750</v>
      </c>
      <c r="D18" s="131" t="n">
        <v>63750</v>
      </c>
      <c r="E18" s="131" t="n">
        <v>63750</v>
      </c>
      <c r="F18" s="131" t="n">
        <v>70000</v>
      </c>
      <c r="G18" s="131" t="n">
        <v>70000</v>
      </c>
      <c r="H18" s="131" t="n">
        <v>70000</v>
      </c>
      <c r="I18" s="131" t="n">
        <v>70000</v>
      </c>
      <c r="J18" s="131" t="n">
        <v>77500</v>
      </c>
      <c r="K18" s="131" t="n">
        <v>77500</v>
      </c>
      <c r="L18" s="131" t="n">
        <v>77500</v>
      </c>
      <c r="M18" s="131" t="n">
        <v>77500</v>
      </c>
      <c r="N18" s="131" t="n">
        <v>83750</v>
      </c>
      <c r="O18" s="131" t="n">
        <v>83750</v>
      </c>
      <c r="P18" s="131" t="n">
        <v>83750</v>
      </c>
      <c r="Q18" s="131" t="n">
        <v>83750</v>
      </c>
      <c r="R18" s="131" t="n">
        <v>90500</v>
      </c>
      <c r="S18" s="131" t="n">
        <v>90500</v>
      </c>
      <c r="T18" s="131" t="n">
        <v>90500</v>
      </c>
      <c r="U18" s="131" t="n">
        <v>90500</v>
      </c>
      <c r="V18" s="104" t="n">
        <v>86000</v>
      </c>
      <c r="W18" s="104" t="n">
        <v>86000</v>
      </c>
      <c r="X18" s="104" t="n">
        <v>86000</v>
      </c>
      <c r="Y18" s="104" t="n">
        <v>86000</v>
      </c>
      <c r="Z18" s="104" t="n">
        <v>88750</v>
      </c>
      <c r="AA18" s="104" t="n">
        <v>88750</v>
      </c>
      <c r="AB18" s="104" t="n">
        <v>88750</v>
      </c>
      <c r="AC18" s="104" t="n">
        <v>88750</v>
      </c>
      <c r="AD18" s="104" t="n">
        <v>91500</v>
      </c>
      <c r="AE18" s="104" t="n">
        <v>91500</v>
      </c>
      <c r="AF18" s="104" t="n">
        <v>91500</v>
      </c>
      <c r="AG18" s="104" t="n">
        <v>91500</v>
      </c>
      <c r="AH18" s="104" t="n">
        <v>94250</v>
      </c>
      <c r="AI18" s="104" t="n">
        <v>94250</v>
      </c>
      <c r="AJ18" s="104" t="n">
        <v>94250</v>
      </c>
      <c r="AK18" s="104" t="n">
        <v>94250</v>
      </c>
      <c r="AL18" s="104" t="n">
        <v>97250</v>
      </c>
      <c r="AM18" s="104" t="n">
        <v>97250</v>
      </c>
      <c r="AN18" s="104" t="n">
        <v>97250</v>
      </c>
      <c r="AO18" s="104" t="n">
        <v>97250</v>
      </c>
    </row>
    <row r="19" ht="15" customHeight="1" s="75">
      <c r="A19" s="130" t="inlineStr">
        <is>
          <t>Insurance</t>
        </is>
      </c>
      <c r="B19" s="131" t="n">
        <v>30000</v>
      </c>
      <c r="C19" s="131" t="n">
        <v>30000</v>
      </c>
      <c r="D19" s="131" t="n">
        <v>30000</v>
      </c>
      <c r="E19" s="131" t="n">
        <v>30000</v>
      </c>
      <c r="F19" s="131" t="n">
        <v>33000</v>
      </c>
      <c r="G19" s="131" t="n">
        <v>33000</v>
      </c>
      <c r="H19" s="131" t="n">
        <v>33000</v>
      </c>
      <c r="I19" s="131" t="n">
        <v>33000</v>
      </c>
      <c r="J19" s="131" t="n">
        <v>36250</v>
      </c>
      <c r="K19" s="131" t="n">
        <v>36250</v>
      </c>
      <c r="L19" s="131" t="n">
        <v>36250</v>
      </c>
      <c r="M19" s="131" t="n">
        <v>36250</v>
      </c>
      <c r="N19" s="131" t="n">
        <v>38750</v>
      </c>
      <c r="O19" s="131" t="n">
        <v>38750</v>
      </c>
      <c r="P19" s="131" t="n">
        <v>38750</v>
      </c>
      <c r="Q19" s="131" t="n">
        <v>38750</v>
      </c>
      <c r="R19" s="131" t="n">
        <v>41500</v>
      </c>
      <c r="S19" s="131" t="n">
        <v>41500</v>
      </c>
      <c r="T19" s="131" t="n">
        <v>41500</v>
      </c>
      <c r="U19" s="131" t="n">
        <v>41500</v>
      </c>
      <c r="V19" s="104" t="n">
        <v>31250</v>
      </c>
      <c r="W19" s="104" t="n">
        <v>31250</v>
      </c>
      <c r="X19" s="104" t="n">
        <v>31250</v>
      </c>
      <c r="Y19" s="104" t="n">
        <v>31250</v>
      </c>
      <c r="Z19" s="104" t="n">
        <v>32500</v>
      </c>
      <c r="AA19" s="104" t="n">
        <v>32500</v>
      </c>
      <c r="AB19" s="104" t="n">
        <v>32500</v>
      </c>
      <c r="AC19" s="104" t="n">
        <v>32500</v>
      </c>
      <c r="AD19" s="104" t="n">
        <v>34000</v>
      </c>
      <c r="AE19" s="104" t="n">
        <v>34000</v>
      </c>
      <c r="AF19" s="104" t="n">
        <v>34000</v>
      </c>
      <c r="AG19" s="104" t="n">
        <v>34000</v>
      </c>
      <c r="AH19" s="104" t="n">
        <v>35250</v>
      </c>
      <c r="AI19" s="104" t="n">
        <v>35250</v>
      </c>
      <c r="AJ19" s="104" t="n">
        <v>35250</v>
      </c>
      <c r="AK19" s="104" t="n">
        <v>35250</v>
      </c>
      <c r="AL19" s="104" t="n">
        <v>36500</v>
      </c>
      <c r="AM19" s="104" t="n">
        <v>36500</v>
      </c>
      <c r="AN19" s="104" t="n">
        <v>36500</v>
      </c>
      <c r="AO19" s="104" t="n">
        <v>36500</v>
      </c>
    </row>
    <row r="20" ht="15" customHeight="1" s="75">
      <c r="A20" s="130" t="inlineStr">
        <is>
          <t>Marketing</t>
        </is>
      </c>
      <c r="B20" s="131" t="n">
        <v>16500</v>
      </c>
      <c r="C20" s="131" t="n">
        <v>33000</v>
      </c>
      <c r="D20" s="131" t="n">
        <v>57750</v>
      </c>
      <c r="E20" s="131" t="n">
        <v>57750</v>
      </c>
      <c r="F20" s="131" t="n">
        <v>22000</v>
      </c>
      <c r="G20" s="131" t="n">
        <v>44000</v>
      </c>
      <c r="H20" s="131" t="n">
        <v>66000</v>
      </c>
      <c r="I20" s="131" t="n">
        <v>66000</v>
      </c>
      <c r="J20" s="131" t="n">
        <v>25000</v>
      </c>
      <c r="K20" s="131" t="n">
        <v>50000</v>
      </c>
      <c r="L20" s="131" t="n">
        <v>75000</v>
      </c>
      <c r="M20" s="131" t="n">
        <v>75000</v>
      </c>
      <c r="N20" s="131" t="n">
        <v>27500</v>
      </c>
      <c r="O20" s="131" t="n">
        <v>55000</v>
      </c>
      <c r="P20" s="131" t="n">
        <v>82500</v>
      </c>
      <c r="Q20" s="131" t="n">
        <v>82500</v>
      </c>
      <c r="R20" s="131" t="n">
        <v>30000</v>
      </c>
      <c r="S20" s="131" t="n">
        <v>60000</v>
      </c>
      <c r="T20" s="131" t="n">
        <v>90000</v>
      </c>
      <c r="U20" s="131" t="n">
        <v>90000</v>
      </c>
      <c r="V20" s="104" t="n">
        <v>49281</v>
      </c>
      <c r="W20" s="104" t="n">
        <v>49281</v>
      </c>
      <c r="X20" s="104" t="n">
        <v>95664</v>
      </c>
      <c r="Y20" s="104" t="n">
        <v>95664</v>
      </c>
      <c r="Z20" s="104" t="n">
        <v>51410</v>
      </c>
      <c r="AA20" s="104" t="n">
        <v>51410</v>
      </c>
      <c r="AB20" s="104" t="n">
        <v>99796</v>
      </c>
      <c r="AC20" s="104" t="n">
        <v>99796</v>
      </c>
      <c r="AD20" s="104" t="n">
        <v>53056</v>
      </c>
      <c r="AE20" s="104" t="n">
        <v>53056</v>
      </c>
      <c r="AF20" s="104" t="n">
        <v>102991</v>
      </c>
      <c r="AG20" s="104" t="n">
        <v>102991</v>
      </c>
      <c r="AH20" s="104" t="n">
        <v>54555</v>
      </c>
      <c r="AI20" s="104" t="n">
        <v>54555</v>
      </c>
      <c r="AJ20" s="104" t="n">
        <v>105902</v>
      </c>
      <c r="AK20" s="104" t="n">
        <v>105902</v>
      </c>
      <c r="AL20" s="104" t="n">
        <v>56014</v>
      </c>
      <c r="AM20" s="104" t="n">
        <v>56014</v>
      </c>
      <c r="AN20" s="104" t="n">
        <v>108734</v>
      </c>
      <c r="AO20" s="104" t="n">
        <v>108734</v>
      </c>
    </row>
    <row r="21" ht="15" customHeight="1" s="75">
      <c r="A21" s="130" t="inlineStr">
        <is>
          <t>Production &amp; creative</t>
        </is>
      </c>
      <c r="B21" s="131" t="n">
        <v>33750</v>
      </c>
      <c r="C21" s="131" t="n">
        <v>33750</v>
      </c>
      <c r="D21" s="131" t="n">
        <v>33750</v>
      </c>
      <c r="E21" s="131" t="n">
        <v>33750</v>
      </c>
      <c r="F21" s="131" t="n">
        <v>43750</v>
      </c>
      <c r="G21" s="131" t="n">
        <v>43750</v>
      </c>
      <c r="H21" s="131" t="n">
        <v>43750</v>
      </c>
      <c r="I21" s="131" t="n">
        <v>43750</v>
      </c>
      <c r="J21" s="131" t="n">
        <v>57500</v>
      </c>
      <c r="K21" s="131" t="n">
        <v>57500</v>
      </c>
      <c r="L21" s="131" t="n">
        <v>57500</v>
      </c>
      <c r="M21" s="131" t="n">
        <v>57500</v>
      </c>
      <c r="N21" s="131" t="n">
        <v>65000</v>
      </c>
      <c r="O21" s="131" t="n">
        <v>65000</v>
      </c>
      <c r="P21" s="131" t="n">
        <v>65000</v>
      </c>
      <c r="Q21" s="131" t="n">
        <v>65000</v>
      </c>
      <c r="R21" s="131" t="n">
        <v>72500</v>
      </c>
      <c r="S21" s="131" t="n">
        <v>72500</v>
      </c>
      <c r="T21" s="131" t="n">
        <v>72500</v>
      </c>
      <c r="U21" s="131" t="n">
        <v>72500</v>
      </c>
      <c r="V21" s="104" t="n">
        <v>106750</v>
      </c>
      <c r="W21" s="104" t="n">
        <v>106750</v>
      </c>
      <c r="X21" s="104" t="n">
        <v>106750</v>
      </c>
      <c r="Y21" s="104" t="n">
        <v>106750</v>
      </c>
      <c r="Z21" s="104" t="n">
        <v>111500</v>
      </c>
      <c r="AA21" s="104" t="n">
        <v>111500</v>
      </c>
      <c r="AB21" s="104" t="n">
        <v>111500</v>
      </c>
      <c r="AC21" s="104" t="n">
        <v>111500</v>
      </c>
      <c r="AD21" s="104" t="n">
        <v>114250</v>
      </c>
      <c r="AE21" s="104" t="n">
        <v>114250</v>
      </c>
      <c r="AF21" s="104" t="n">
        <v>114250</v>
      </c>
      <c r="AG21" s="104" t="n">
        <v>114250</v>
      </c>
      <c r="AH21" s="104" t="n">
        <v>117500</v>
      </c>
      <c r="AI21" s="104" t="n">
        <v>117500</v>
      </c>
      <c r="AJ21" s="104" t="n">
        <v>117500</v>
      </c>
      <c r="AK21" s="104" t="n">
        <v>117500</v>
      </c>
      <c r="AL21" s="104" t="n">
        <v>120750</v>
      </c>
      <c r="AM21" s="104" t="n">
        <v>120750</v>
      </c>
      <c r="AN21" s="104" t="n">
        <v>120750</v>
      </c>
      <c r="AO21" s="104" t="n">
        <v>120750</v>
      </c>
    </row>
    <row r="22" ht="15" customHeight="1" s="75">
      <c r="A22" s="130" t="inlineStr">
        <is>
          <t>Professional services</t>
        </is>
      </c>
      <c r="B22" s="131" t="n">
        <v>17393</v>
      </c>
      <c r="C22" s="131" t="n">
        <v>17393</v>
      </c>
      <c r="D22" s="131" t="n">
        <v>17393</v>
      </c>
      <c r="E22" s="131" t="n">
        <v>17393</v>
      </c>
      <c r="F22" s="131" t="n">
        <v>27296</v>
      </c>
      <c r="G22" s="131" t="n">
        <v>27296</v>
      </c>
      <c r="H22" s="131" t="n">
        <v>27296</v>
      </c>
      <c r="I22" s="131" t="n">
        <v>27296</v>
      </c>
      <c r="J22" s="131" t="n">
        <v>35354</v>
      </c>
      <c r="K22" s="131" t="n">
        <v>35354</v>
      </c>
      <c r="L22" s="131" t="n">
        <v>35354</v>
      </c>
      <c r="M22" s="131" t="n">
        <v>35354</v>
      </c>
      <c r="N22" s="131" t="n">
        <v>36721</v>
      </c>
      <c r="O22" s="131" t="n">
        <v>36721</v>
      </c>
      <c r="P22" s="131" t="n">
        <v>36721</v>
      </c>
      <c r="Q22" s="131" t="n">
        <v>36721</v>
      </c>
      <c r="R22" s="131" t="n">
        <v>36780</v>
      </c>
      <c r="S22" s="131" t="n">
        <v>36780</v>
      </c>
      <c r="T22" s="131" t="n">
        <v>36780</v>
      </c>
      <c r="U22" s="131" t="n">
        <v>36780</v>
      </c>
      <c r="V22" s="104" t="n">
        <v>26375</v>
      </c>
      <c r="W22" s="104" t="n">
        <v>26375</v>
      </c>
      <c r="X22" s="104" t="n">
        <v>26375</v>
      </c>
      <c r="Y22" s="104" t="n">
        <v>26375</v>
      </c>
      <c r="Z22" s="104" t="n">
        <v>27500</v>
      </c>
      <c r="AA22" s="104" t="n">
        <v>27500</v>
      </c>
      <c r="AB22" s="104" t="n">
        <v>27500</v>
      </c>
      <c r="AC22" s="104" t="n">
        <v>27500</v>
      </c>
      <c r="AD22" s="104" t="n">
        <v>28375</v>
      </c>
      <c r="AE22" s="104" t="n">
        <v>28375</v>
      </c>
      <c r="AF22" s="104" t="n">
        <v>28375</v>
      </c>
      <c r="AG22" s="104" t="n">
        <v>28375</v>
      </c>
      <c r="AH22" s="104" t="n">
        <v>29250</v>
      </c>
      <c r="AI22" s="104" t="n">
        <v>29250</v>
      </c>
      <c r="AJ22" s="104" t="n">
        <v>29250</v>
      </c>
      <c r="AK22" s="104" t="n">
        <v>29250</v>
      </c>
      <c r="AL22" s="104" t="n">
        <v>29750</v>
      </c>
      <c r="AM22" s="104" t="n">
        <v>29750</v>
      </c>
      <c r="AN22" s="104" t="n">
        <v>29750</v>
      </c>
      <c r="AO22" s="104" t="n">
        <v>29750</v>
      </c>
    </row>
    <row r="23" ht="15" customHeight="1" s="75">
      <c r="A23" s="132" t="inlineStr">
        <is>
          <t>Total Operating Costs</t>
        </is>
      </c>
      <c r="B23" s="133">
        <f>SUM(B17:B22)</f>
        <v/>
      </c>
      <c r="C23" s="133">
        <f>SUM(C17:C22)</f>
        <v/>
      </c>
      <c r="D23" s="133">
        <f>SUM(D17:D22)</f>
        <v/>
      </c>
      <c r="E23" s="133">
        <f>SUM(E17:E22)</f>
        <v/>
      </c>
      <c r="F23" s="133">
        <f>SUM(F17:F22)</f>
        <v/>
      </c>
      <c r="G23" s="133">
        <f>SUM(G17:G22)</f>
        <v/>
      </c>
      <c r="H23" s="133">
        <f>SUM(H17:H22)</f>
        <v/>
      </c>
      <c r="I23" s="133">
        <f>SUM(I17:I22)</f>
        <v/>
      </c>
      <c r="J23" s="133">
        <f>SUM(J17:J22)</f>
        <v/>
      </c>
      <c r="K23" s="133">
        <f>SUM(K17:K22)</f>
        <v/>
      </c>
      <c r="L23" s="133">
        <f>SUM(L17:L22)</f>
        <v/>
      </c>
      <c r="M23" s="133">
        <f>SUM(M17:M22)</f>
        <v/>
      </c>
      <c r="N23" s="133">
        <f>SUM(N17:N22)</f>
        <v/>
      </c>
      <c r="O23" s="133">
        <f>SUM(O17:O22)</f>
        <v/>
      </c>
      <c r="P23" s="133">
        <f>SUM(P17:P22)</f>
        <v/>
      </c>
      <c r="Q23" s="133">
        <f>SUM(Q17:Q22)</f>
        <v/>
      </c>
      <c r="R23" s="133">
        <f>SUM(R17:R22)</f>
        <v/>
      </c>
      <c r="S23" s="133">
        <f>SUM(S17:S22)</f>
        <v/>
      </c>
      <c r="T23" s="133">
        <f>SUM(T17:T22)</f>
        <v/>
      </c>
      <c r="U23" s="133">
        <f>SUM(U17:U22)</f>
        <v/>
      </c>
      <c r="V23" s="107" t="n">
        <v>513026</v>
      </c>
      <c r="W23" s="107" t="n">
        <v>513026</v>
      </c>
      <c r="X23" s="107" t="n">
        <v>593099</v>
      </c>
      <c r="Y23" s="107" t="n">
        <v>795239</v>
      </c>
      <c r="Z23" s="107" t="n">
        <v>532060</v>
      </c>
      <c r="AA23" s="107" t="n">
        <v>532060</v>
      </c>
      <c r="AB23" s="107" t="n">
        <v>615246</v>
      </c>
      <c r="AC23" s="107" t="n">
        <v>824046</v>
      </c>
      <c r="AD23" s="107" t="n">
        <v>546711</v>
      </c>
      <c r="AE23" s="107" t="n">
        <v>546711</v>
      </c>
      <c r="AF23" s="107" t="n">
        <v>632256</v>
      </c>
      <c r="AG23" s="107" t="n">
        <v>845916</v>
      </c>
      <c r="AH23" s="107" t="n">
        <v>562035</v>
      </c>
      <c r="AI23" s="107" t="n">
        <v>562035</v>
      </c>
      <c r="AJ23" s="107" t="n">
        <v>649892</v>
      </c>
      <c r="AK23" s="107" t="n">
        <v>868952</v>
      </c>
      <c r="AL23" s="107" t="n">
        <v>576814</v>
      </c>
      <c r="AM23" s="107" t="n">
        <v>576814</v>
      </c>
      <c r="AN23" s="107" t="n">
        <v>666884</v>
      </c>
      <c r="AO23" s="107" t="n">
        <v>890984</v>
      </c>
    </row>
    <row r="24" ht="15" customHeight="1" s="7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</row>
    <row r="25" ht="15" customHeight="1" s="75">
      <c r="A25" s="128" t="inlineStr">
        <is>
          <t>NET CASH FLOW</t>
        </is>
      </c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</row>
    <row r="26" ht="15" customHeight="1" s="75">
      <c r="A26" s="136" t="inlineStr">
        <is>
          <t>Operating cash flow (Revenue - OpEx)</t>
        </is>
      </c>
      <c r="B26" s="137">
        <f>B14-B23</f>
        <v/>
      </c>
      <c r="C26" s="137">
        <f>C14-C23</f>
        <v/>
      </c>
      <c r="D26" s="137">
        <f>D14-D23</f>
        <v/>
      </c>
      <c r="E26" s="137">
        <f>E14-E23</f>
        <v/>
      </c>
      <c r="F26" s="137">
        <f>F14-F23</f>
        <v/>
      </c>
      <c r="G26" s="137">
        <f>G14-G23</f>
        <v/>
      </c>
      <c r="H26" s="137">
        <f>H14-H23</f>
        <v/>
      </c>
      <c r="I26" s="137">
        <f>I14-I23</f>
        <v/>
      </c>
      <c r="J26" s="137">
        <f>J14-J23</f>
        <v/>
      </c>
      <c r="K26" s="137">
        <f>K14-K23</f>
        <v/>
      </c>
      <c r="L26" s="137">
        <f>L14-L23</f>
        <v/>
      </c>
      <c r="M26" s="137">
        <f>M14-M23</f>
        <v/>
      </c>
      <c r="N26" s="137">
        <f>N14-N23</f>
        <v/>
      </c>
      <c r="O26" s="137">
        <f>O14-O23</f>
        <v/>
      </c>
      <c r="P26" s="137">
        <f>P14-P23</f>
        <v/>
      </c>
      <c r="Q26" s="137">
        <f>Q14-Q23</f>
        <v/>
      </c>
      <c r="R26" s="137">
        <f>R14-R23</f>
        <v/>
      </c>
      <c r="S26" s="137">
        <f>S14-S23</f>
        <v/>
      </c>
      <c r="T26" s="137">
        <f>T14-T23</f>
        <v/>
      </c>
      <c r="U26" s="137">
        <f>U14-U23</f>
        <v/>
      </c>
      <c r="V26" s="184" t="n">
        <v>-68913</v>
      </c>
      <c r="W26" s="184" t="n">
        <v>-55455</v>
      </c>
      <c r="X26" s="184" t="n">
        <v>-148986</v>
      </c>
      <c r="Y26" s="184" t="n">
        <v>1141576</v>
      </c>
      <c r="Z26" s="184" t="n">
        <v>-50018</v>
      </c>
      <c r="AA26" s="184" t="n">
        <v>-35410</v>
      </c>
      <c r="AB26" s="184" t="n">
        <v>-133204</v>
      </c>
      <c r="AC26" s="184" t="n">
        <v>1212714</v>
      </c>
      <c r="AD26" s="184" t="n">
        <v>-39977</v>
      </c>
      <c r="AE26" s="184" t="n">
        <v>-24622</v>
      </c>
      <c r="AF26" s="184" t="n">
        <v>-125522</v>
      </c>
      <c r="AG26" s="184" t="n">
        <v>1306959</v>
      </c>
      <c r="AH26" s="184" t="n">
        <v>-25921</v>
      </c>
      <c r="AI26" s="184" t="n">
        <v>-9675</v>
      </c>
      <c r="AJ26" s="184" t="n">
        <v>-113778</v>
      </c>
      <c r="AK26" s="184" t="n">
        <v>1389790</v>
      </c>
      <c r="AL26" s="184" t="n">
        <v>-14724</v>
      </c>
      <c r="AM26" s="184" t="n">
        <v>2309</v>
      </c>
      <c r="AN26" s="184" t="n">
        <v>-104794</v>
      </c>
      <c r="AO26" s="184" t="n">
        <v>1477127</v>
      </c>
    </row>
    <row r="27" ht="15" customHeight="1" s="75">
      <c r="A27" s="136" t="inlineStr">
        <is>
          <t>Less: CapEx</t>
        </is>
      </c>
      <c r="B27" s="137">
        <f>-B9</f>
        <v/>
      </c>
      <c r="C27" s="137">
        <f>-C9</f>
        <v/>
      </c>
      <c r="D27" s="137">
        <f>-D9</f>
        <v/>
      </c>
      <c r="E27" s="137">
        <f>-E9</f>
        <v/>
      </c>
      <c r="F27" s="137">
        <f>-F9</f>
        <v/>
      </c>
      <c r="G27" s="137">
        <f>-G9</f>
        <v/>
      </c>
      <c r="H27" s="137">
        <f>-H9</f>
        <v/>
      </c>
      <c r="I27" s="137">
        <f>-I9</f>
        <v/>
      </c>
      <c r="J27" s="137">
        <f>-J9</f>
        <v/>
      </c>
      <c r="K27" s="137">
        <f>-K9</f>
        <v/>
      </c>
      <c r="L27" s="137">
        <f>-L9</f>
        <v/>
      </c>
      <c r="M27" s="137">
        <f>-M9</f>
        <v/>
      </c>
      <c r="N27" s="137">
        <f>-N9</f>
        <v/>
      </c>
      <c r="O27" s="137">
        <f>-O9</f>
        <v/>
      </c>
      <c r="P27" s="137">
        <f>-P9</f>
        <v/>
      </c>
      <c r="Q27" s="137">
        <f>-Q9</f>
        <v/>
      </c>
      <c r="R27" s="137">
        <f>-R9</f>
        <v/>
      </c>
      <c r="S27" s="137">
        <f>-S9</f>
        <v/>
      </c>
      <c r="T27" s="137">
        <f>-T9</f>
        <v/>
      </c>
      <c r="U27" s="137">
        <f>-U9</f>
        <v/>
      </c>
      <c r="V27" s="184" t="n">
        <v>-1300000</v>
      </c>
      <c r="W27" s="184" t="n">
        <v>0</v>
      </c>
      <c r="X27" s="184" t="n">
        <v>0</v>
      </c>
      <c r="Y27" s="184" t="n">
        <v>0</v>
      </c>
      <c r="Z27" s="184" t="n">
        <v>0</v>
      </c>
      <c r="AA27" s="184" t="n">
        <v>0</v>
      </c>
      <c r="AB27" s="184" t="n">
        <v>0</v>
      </c>
      <c r="AC27" s="184" t="n">
        <v>0</v>
      </c>
      <c r="AD27" s="184" t="n">
        <v>-1300000</v>
      </c>
      <c r="AE27" s="184" t="n">
        <v>0</v>
      </c>
      <c r="AF27" s="184" t="n">
        <v>0</v>
      </c>
      <c r="AG27" s="184" t="n">
        <v>0</v>
      </c>
      <c r="AH27" s="184" t="n">
        <v>0</v>
      </c>
      <c r="AI27" s="184" t="n">
        <v>0</v>
      </c>
      <c r="AJ27" s="184" t="n">
        <v>0</v>
      </c>
      <c r="AK27" s="184" t="n">
        <v>0</v>
      </c>
      <c r="AL27" s="184" t="n">
        <v>-1300000</v>
      </c>
      <c r="AM27" s="184" t="n">
        <v>0</v>
      </c>
      <c r="AN27" s="184" t="n">
        <v>0</v>
      </c>
      <c r="AO27" s="184" t="n">
        <v>0</v>
      </c>
    </row>
    <row r="28" ht="15" customHeight="1" s="75">
      <c r="A28" s="132" t="inlineStr">
        <is>
          <t>Net cash flow</t>
        </is>
      </c>
      <c r="B28" s="138">
        <f>B26+B27</f>
        <v/>
      </c>
      <c r="C28" s="138">
        <f>C26+C27</f>
        <v/>
      </c>
      <c r="D28" s="138">
        <f>D26+D27</f>
        <v/>
      </c>
      <c r="E28" s="138">
        <f>E26+E27</f>
        <v/>
      </c>
      <c r="F28" s="138">
        <f>F26+F27</f>
        <v/>
      </c>
      <c r="G28" s="138">
        <f>G26+G27</f>
        <v/>
      </c>
      <c r="H28" s="138">
        <f>H26+H27</f>
        <v/>
      </c>
      <c r="I28" s="138">
        <f>I26+I27</f>
        <v/>
      </c>
      <c r="J28" s="138">
        <f>J26+J27</f>
        <v/>
      </c>
      <c r="K28" s="138">
        <f>K26+K27</f>
        <v/>
      </c>
      <c r="L28" s="138">
        <f>L26+L27</f>
        <v/>
      </c>
      <c r="M28" s="138">
        <f>M26+M27</f>
        <v/>
      </c>
      <c r="N28" s="138">
        <f>N26+N27</f>
        <v/>
      </c>
      <c r="O28" s="138">
        <f>O26+O27</f>
        <v/>
      </c>
      <c r="P28" s="138">
        <f>P26+P27</f>
        <v/>
      </c>
      <c r="Q28" s="138">
        <f>Q26+Q27</f>
        <v/>
      </c>
      <c r="R28" s="138">
        <f>R26+R27</f>
        <v/>
      </c>
      <c r="S28" s="138">
        <f>S26+S27</f>
        <v/>
      </c>
      <c r="T28" s="138">
        <f>T26+T27</f>
        <v/>
      </c>
      <c r="U28" s="138">
        <f>U26+U27</f>
        <v/>
      </c>
      <c r="V28" s="190" t="n">
        <v>-1368913</v>
      </c>
      <c r="W28" s="190" t="n">
        <v>-55455</v>
      </c>
      <c r="X28" s="190" t="n">
        <v>-148986</v>
      </c>
      <c r="Y28" s="190" t="n">
        <v>1141576</v>
      </c>
      <c r="Z28" s="190" t="n">
        <v>-50018</v>
      </c>
      <c r="AA28" s="190" t="n">
        <v>-35410</v>
      </c>
      <c r="AB28" s="190" t="n">
        <v>-133204</v>
      </c>
      <c r="AC28" s="190" t="n">
        <v>1212714</v>
      </c>
      <c r="AD28" s="190" t="n">
        <v>-1339977</v>
      </c>
      <c r="AE28" s="190" t="n">
        <v>-24622</v>
      </c>
      <c r="AF28" s="190" t="n">
        <v>-125522</v>
      </c>
      <c r="AG28" s="190" t="n">
        <v>1306959</v>
      </c>
      <c r="AH28" s="190" t="n">
        <v>-25921</v>
      </c>
      <c r="AI28" s="190" t="n">
        <v>-9675</v>
      </c>
      <c r="AJ28" s="190" t="n">
        <v>-113778</v>
      </c>
      <c r="AK28" s="190" t="n">
        <v>1389790</v>
      </c>
      <c r="AL28" s="190" t="n">
        <v>-1314724</v>
      </c>
      <c r="AM28" s="190" t="n">
        <v>2309</v>
      </c>
      <c r="AN28" s="190" t="n">
        <v>-104794</v>
      </c>
      <c r="AO28" s="190" t="n">
        <v>1477127</v>
      </c>
    </row>
    <row r="29" ht="15" customHeight="1" s="7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</row>
    <row r="30" ht="15" customHeight="1" s="75">
      <c r="A30" s="128" t="inlineStr">
        <is>
          <t>FUNDING &amp; RESERVES</t>
        </is>
      </c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</row>
    <row r="31" ht="15" customHeight="1" s="75">
      <c r="A31" s="130" t="inlineStr">
        <is>
          <t>Initial funding (£30M + £2M WC)</t>
        </is>
      </c>
      <c r="B31" s="131" t="n">
        <v>32020000</v>
      </c>
      <c r="C31" s="130" t="n">
        <v>0</v>
      </c>
      <c r="D31" s="130" t="n">
        <v>0</v>
      </c>
      <c r="E31" s="130" t="n">
        <v>0</v>
      </c>
      <c r="F31" s="130" t="n">
        <v>0</v>
      </c>
      <c r="G31" s="130" t="n">
        <v>0</v>
      </c>
      <c r="H31" s="130" t="n">
        <v>0</v>
      </c>
      <c r="I31" s="130" t="n">
        <v>0</v>
      </c>
      <c r="J31" s="130" t="n">
        <v>0</v>
      </c>
      <c r="K31" s="130" t="n">
        <v>0</v>
      </c>
      <c r="L31" s="130" t="n"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130" t="n">
        <v>0</v>
      </c>
      <c r="S31" s="130" t="n">
        <v>0</v>
      </c>
      <c r="T31" s="130" t="n">
        <v>0</v>
      </c>
      <c r="U31" s="130" t="n">
        <v>0</v>
      </c>
      <c r="V31" s="104" t="n">
        <v>0</v>
      </c>
      <c r="W31" s="104" t="n">
        <v>0</v>
      </c>
      <c r="X31" s="104" t="n">
        <v>0</v>
      </c>
      <c r="Y31" s="104" t="n">
        <v>0</v>
      </c>
      <c r="Z31" s="104" t="n">
        <v>0</v>
      </c>
      <c r="AA31" s="104" t="n">
        <v>0</v>
      </c>
      <c r="AB31" s="104" t="n">
        <v>0</v>
      </c>
      <c r="AC31" s="104" t="n">
        <v>0</v>
      </c>
      <c r="AD31" s="104" t="n">
        <v>0</v>
      </c>
      <c r="AE31" s="104" t="n">
        <v>0</v>
      </c>
      <c r="AF31" s="104" t="n">
        <v>0</v>
      </c>
      <c r="AG31" s="104" t="n">
        <v>0</v>
      </c>
      <c r="AH31" s="104" t="n">
        <v>0</v>
      </c>
      <c r="AI31" s="104" t="n">
        <v>0</v>
      </c>
      <c r="AJ31" s="104" t="n">
        <v>0</v>
      </c>
      <c r="AK31" s="104" t="n">
        <v>0</v>
      </c>
      <c r="AL31" s="104" t="n">
        <v>0</v>
      </c>
      <c r="AM31" s="104" t="n">
        <v>0</v>
      </c>
      <c r="AN31" s="104" t="n">
        <v>0</v>
      </c>
      <c r="AO31" s="104" t="n">
        <v>0</v>
      </c>
    </row>
    <row r="32" ht="15" customHeight="1" s="75">
      <c r="A32" s="140" t="inlineStr">
        <is>
          <t>Cumulative cash position</t>
        </is>
      </c>
      <c r="B32" s="141">
        <f>B31+B28</f>
        <v/>
      </c>
      <c r="C32" s="141">
        <f>B32+C28</f>
        <v/>
      </c>
      <c r="D32" s="141">
        <f>C32+D28</f>
        <v/>
      </c>
      <c r="E32" s="141">
        <f>D32+E28</f>
        <v/>
      </c>
      <c r="F32" s="141">
        <f>E32+F28</f>
        <v/>
      </c>
      <c r="G32" s="141">
        <f>F32+G28</f>
        <v/>
      </c>
      <c r="H32" s="141">
        <f>G32+H28</f>
        <v/>
      </c>
      <c r="I32" s="141">
        <f>H32+I28</f>
        <v/>
      </c>
      <c r="J32" s="141">
        <f>I32+J28</f>
        <v/>
      </c>
      <c r="K32" s="141">
        <f>J32+K28</f>
        <v/>
      </c>
      <c r="L32" s="141">
        <f>K32+L28</f>
        <v/>
      </c>
      <c r="M32" s="141">
        <f>L32+M28</f>
        <v/>
      </c>
      <c r="N32" s="141">
        <f>M32+N28</f>
        <v/>
      </c>
      <c r="O32" s="141">
        <f>N32+O28</f>
        <v/>
      </c>
      <c r="P32" s="141">
        <f>O32+P28</f>
        <v/>
      </c>
      <c r="Q32" s="141">
        <f>P32+Q28</f>
        <v/>
      </c>
      <c r="R32" s="141">
        <f>Q32+R28</f>
        <v/>
      </c>
      <c r="S32" s="141">
        <f>R32+S28</f>
        <v/>
      </c>
      <c r="T32" s="141">
        <f>S32+T28</f>
        <v/>
      </c>
      <c r="U32" s="141">
        <f>T32+U28</f>
        <v/>
      </c>
      <c r="V32" s="190" t="n">
        <v>-1166765</v>
      </c>
      <c r="W32" s="190" t="n">
        <v>-1222220</v>
      </c>
      <c r="X32" s="190" t="n">
        <v>-1371206</v>
      </c>
      <c r="Y32" s="190" t="n">
        <v>-229630</v>
      </c>
      <c r="Z32" s="190" t="n">
        <v>-279648</v>
      </c>
      <c r="AA32" s="190" t="n">
        <v>-315058</v>
      </c>
      <c r="AB32" s="190" t="n">
        <v>-448262</v>
      </c>
      <c r="AC32" s="190" t="n">
        <v>764452</v>
      </c>
      <c r="AD32" s="190" t="n">
        <v>-575525</v>
      </c>
      <c r="AE32" s="190" t="n">
        <v>-600147</v>
      </c>
      <c r="AF32" s="190" t="n">
        <v>-725669</v>
      </c>
      <c r="AG32" s="190" t="n">
        <v>581290</v>
      </c>
      <c r="AH32" s="190" t="n">
        <v>555369</v>
      </c>
      <c r="AI32" s="190" t="n">
        <v>545694</v>
      </c>
      <c r="AJ32" s="190" t="n">
        <v>431916</v>
      </c>
      <c r="AK32" s="190" t="n">
        <v>1821706</v>
      </c>
      <c r="AL32" s="190" t="n">
        <v>506982</v>
      </c>
      <c r="AM32" s="190" t="n">
        <v>509291</v>
      </c>
      <c r="AN32" s="190" t="n">
        <v>404497</v>
      </c>
      <c r="AO32" s="190" t="n">
        <v>1881624</v>
      </c>
    </row>
    <row r="33" ht="15" customHeight="1" s="7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</row>
    <row r="34" ht="15" customHeight="1" s="75">
      <c r="A34" s="142" t="inlineStr">
        <is>
          <t>Minimum cash position (over 5 years)</t>
        </is>
      </c>
      <c r="B34" s="143">
        <f>MIN(B32:U32)</f>
        <v/>
      </c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</row>
    <row r="35" ht="15" customHeight="1" s="75">
      <c r="A35" s="144" t="inlineStr">
        <is>
          <t>Quarter of minimum cash</t>
        </is>
      </c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74" min="1" max="1"/>
    <col width="28" customWidth="1" style="74" min="2" max="4"/>
    <col width="24" customWidth="1" style="75" min="3" max="3"/>
    <col width="20" customWidth="1" style="75" min="4" max="4"/>
  </cols>
  <sheetData>
    <row r="1" ht="17.25" customHeight="1" s="75">
      <c r="A1" s="124" t="inlineStr">
        <is>
          <t>SCENARIO ANALYSIS</t>
        </is>
      </c>
    </row>
    <row r="2" ht="15" customHeight="1" s="75">
      <c r="A2" s="125" t="inlineStr">
        <is>
          <t>Base case vs stress scenarios (10-year horizon)</t>
        </is>
      </c>
    </row>
    <row r="4" ht="15" customHeight="1" s="75">
      <c r="A4" s="191" t="inlineStr">
        <is>
          <t>Metric</t>
        </is>
      </c>
      <c r="B4" s="191" t="inlineStr">
        <is>
          <t>Downside</t>
        </is>
      </c>
      <c r="C4" s="191" t="inlineStr">
        <is>
          <t>Base Case</t>
        </is>
      </c>
      <c r="D4" s="191" t="inlineStr">
        <is>
          <t>Upside</t>
        </is>
      </c>
    </row>
    <row r="5" ht="15" customHeight="1" s="75">
      <c r="A5" s="192" t="inlineStr">
        <is>
          <t>ASSUMPTIONS</t>
        </is>
      </c>
      <c r="B5" s="145" t="n"/>
      <c r="C5" s="145" t="n"/>
      <c r="D5" s="145" t="n"/>
    </row>
    <row r="6" ht="15" customHeight="1" s="75">
      <c r="A6" s="193" t="inlineStr">
        <is>
          <t>Scare nights (Y1 / Y5 / Y10)</t>
        </is>
      </c>
      <c r="B6" s="194" t="inlineStr">
        <is>
          <t>20 / 24 / 26</t>
        </is>
      </c>
      <c r="C6" s="194" t="inlineStr">
        <is>
          <t>24 / 30 / 30</t>
        </is>
      </c>
      <c r="D6" s="194" t="inlineStr">
        <is>
          <t>26 / 34 / 34</t>
        </is>
      </c>
    </row>
    <row r="7" ht="15" customHeight="1" s="75">
      <c r="A7" s="195" t="inlineStr">
        <is>
          <t>Nightly capacity (Y1 / Y5 / Y10)</t>
        </is>
      </c>
      <c r="B7" s="196" t="inlineStr">
        <is>
          <t>800 / 1,000 / 1,200</t>
        </is>
      </c>
      <c r="C7" s="196" t="inlineStr">
        <is>
          <t>1,000 / 1,400 / 1,500</t>
        </is>
      </c>
      <c r="D7" s="196" t="inlineStr">
        <is>
          <t>1,100 / 1,600 / 1,600</t>
        </is>
      </c>
    </row>
    <row r="8" ht="15" customHeight="1" s="75">
      <c r="A8" s="193" t="inlineStr">
        <is>
          <t>Peak utilisation rate</t>
        </is>
      </c>
      <c r="B8" s="194" t="inlineStr">
        <is>
          <t>70%</t>
        </is>
      </c>
      <c r="C8" s="194" t="inlineStr">
        <is>
          <t>85-90%</t>
        </is>
      </c>
      <c r="D8" s="194" t="inlineStr">
        <is>
          <t>92%</t>
        </is>
      </c>
    </row>
    <row r="9" ht="15" customHeight="1" s="75">
      <c r="A9" s="195" t="inlineStr">
        <is>
          <t>Blended ticket price Y1</t>
        </is>
      </c>
      <c r="B9" s="196" t="inlineStr">
        <is>
          <t>£24</t>
        </is>
      </c>
      <c r="C9" s="196" t="inlineStr">
        <is>
          <t>£27</t>
        </is>
      </c>
      <c r="D9" s="196" t="inlineStr">
        <is>
          <t>£30</t>
        </is>
      </c>
    </row>
    <row r="10" ht="15" customHeight="1" s="75">
      <c r="A10" s="193" t="inlineStr">
        <is>
          <t>Annual price increase</t>
        </is>
      </c>
      <c r="B10" s="194" t="inlineStr">
        <is>
          <t>3%</t>
        </is>
      </c>
      <c r="C10" s="194" t="inlineStr">
        <is>
          <t>4-5%</t>
        </is>
      </c>
      <c r="D10" s="194" t="inlineStr">
        <is>
          <t>6-7%</t>
        </is>
      </c>
    </row>
    <row r="11" ht="15" customHeight="1" s="75">
      <c r="A11" s="195" t="inlineStr">
        <is>
          <t>Off-season Y5 revenue</t>
        </is>
      </c>
      <c r="B11" s="196" t="inlineStr">
        <is>
          <t>£750k</t>
        </is>
      </c>
      <c r="C11" s="196" t="inlineStr">
        <is>
          <t>£1.20M</t>
        </is>
      </c>
      <c r="D11" s="196" t="inlineStr">
        <is>
          <t>£1.60M</t>
        </is>
      </c>
    </row>
    <row r="12" ht="15" customHeight="1" s="75">
      <c r="A12" s="193" t="inlineStr">
        <is>
          <t>Off-season Y10 revenue</t>
        </is>
      </c>
      <c r="B12" s="194" t="inlineStr">
        <is>
          <t>£1.10M</t>
        </is>
      </c>
      <c r="C12" s="194" t="inlineStr">
        <is>
          <t>£1.70M</t>
        </is>
      </c>
      <c r="D12" s="194" t="inlineStr">
        <is>
          <t>£2.30M</t>
        </is>
      </c>
    </row>
    <row r="13" ht="15" customHeight="1" s="75">
      <c r="A13" s="195" t="inlineStr">
        <is>
          <t>OpEx growth rate (mature)</t>
        </is>
      </c>
      <c r="B13" s="196" t="inlineStr">
        <is>
          <t>5%</t>
        </is>
      </c>
      <c r="C13" s="196" t="inlineStr">
        <is>
          <t>3-4%</t>
        </is>
      </c>
      <c r="D13" s="196" t="inlineStr">
        <is>
          <t>2-3%</t>
        </is>
      </c>
    </row>
    <row r="14" ht="15" customHeight="1" s="75">
      <c r="A14" s="146" t="inlineStr">
        <is>
          <t>OpEx growth rate</t>
        </is>
      </c>
      <c r="B14" s="130" t="inlineStr">
        <is>
          <t>12%</t>
        </is>
      </c>
      <c r="C14" s="130" t="inlineStr">
        <is>
          <t>10%</t>
        </is>
      </c>
      <c r="D14" s="130" t="inlineStr">
        <is>
          <t>8%</t>
        </is>
      </c>
    </row>
    <row r="15" ht="15" customHeight="1" s="75">
      <c r="A15" s="197" t="inlineStr">
        <is>
          <t>5-YEAR RESULTS</t>
        </is>
      </c>
      <c r="B15" s="129" t="n"/>
      <c r="C15" s="129" t="n"/>
      <c r="D15" s="129" t="n"/>
    </row>
    <row r="16" ht="15" customHeight="1" s="75">
      <c r="A16" s="198" t="inlineStr">
        <is>
          <t>Year 5 revenue</t>
        </is>
      </c>
      <c r="B16" s="198" t="inlineStr">
        <is>
          <t>£1.95M</t>
        </is>
      </c>
      <c r="C16" s="199" t="inlineStr">
        <is>
          <t>£2.90M</t>
        </is>
      </c>
      <c r="D16" s="198" t="inlineStr">
        <is>
          <t>£3.85M</t>
        </is>
      </c>
    </row>
    <row r="17" ht="15" customHeight="1" s="75">
      <c r="A17" s="193" t="inlineStr">
        <is>
          <t>Year 5 EBITDA</t>
        </is>
      </c>
      <c r="B17" s="193" t="inlineStr">
        <is>
          <t>£50k</t>
        </is>
      </c>
      <c r="C17" s="200" t="inlineStr">
        <is>
          <t>£599k</t>
        </is>
      </c>
      <c r="D17" s="193" t="inlineStr">
        <is>
          <t>£1.15M</t>
        </is>
      </c>
    </row>
    <row r="18" ht="15" customHeight="1" s="75">
      <c r="A18" s="195" t="inlineStr">
        <is>
          <t>EBITDA breakeven year</t>
        </is>
      </c>
      <c r="B18" s="195" t="inlineStr">
        <is>
          <t>Year 5</t>
        </is>
      </c>
      <c r="C18" s="201" t="inlineStr">
        <is>
          <t>Year 4</t>
        </is>
      </c>
      <c r="D18" s="195" t="inlineStr">
        <is>
          <t>Year 3</t>
        </is>
      </c>
    </row>
    <row r="19" ht="15" customHeight="1" s="75">
      <c r="A19" s="193" t="inlineStr">
        <is>
          <t>Max cumulative loss (5yr)</t>
        </is>
      </c>
      <c r="B19" s="193" t="inlineStr">
        <is>
          <t>£1.85M</t>
        </is>
      </c>
      <c r="C19" s="200" t="inlineStr">
        <is>
          <t>£1.39M</t>
        </is>
      </c>
      <c r="D19" s="193" t="inlineStr">
        <is>
          <t>£780k</t>
        </is>
      </c>
    </row>
    <row r="20" ht="15" customHeight="1" s="75">
      <c r="A20" s="195" t="inlineStr">
        <is>
          <t>WC headroom at worst point</t>
        </is>
      </c>
      <c r="B20" s="195" t="inlineStr">
        <is>
          <t>£150k</t>
        </is>
      </c>
      <c r="C20" s="201" t="inlineStr">
        <is>
          <t>£606k</t>
        </is>
      </c>
      <c r="D20" s="195" t="inlineStr">
        <is>
          <t>£1.22M</t>
        </is>
      </c>
    </row>
    <row r="21" ht="15" customHeight="1" s="75">
      <c r="A21" s="149" t="inlineStr">
        <is>
          <t>Breakeven year</t>
        </is>
      </c>
      <c r="B21" s="146" t="inlineStr">
        <is>
          <t>Not in 5 years</t>
        </is>
      </c>
      <c r="C21" s="146" t="inlineStr">
        <is>
          <t>Year 4</t>
        </is>
      </c>
      <c r="D21" s="146" t="inlineStr">
        <is>
          <t>Year 3</t>
        </is>
      </c>
    </row>
    <row r="22" ht="15" customHeight="1" s="75">
      <c r="A22" s="202" t="inlineStr">
        <is>
          <t>10-YEAR RESULTS</t>
        </is>
      </c>
      <c r="B22" s="147" t="inlineStr">
        <is>
          <t>£2.6M</t>
        </is>
      </c>
      <c r="C22" s="147" t="inlineStr">
        <is>
          <t>£1.24M</t>
        </is>
      </c>
      <c r="D22" s="147" t="inlineStr">
        <is>
          <t>£780k</t>
        </is>
      </c>
    </row>
    <row r="23" ht="15" customHeight="1" s="75">
      <c r="A23" s="193" t="inlineStr">
        <is>
          <t>Year 10 revenue</t>
        </is>
      </c>
      <c r="B23" s="203" t="inlineStr">
        <is>
          <t>£2.80M</t>
        </is>
      </c>
      <c r="C23" s="200" t="inlineStr">
        <is>
          <t>£4.07M</t>
        </is>
      </c>
      <c r="D23" s="193" t="inlineStr">
        <is>
          <t>£5.50M</t>
        </is>
      </c>
    </row>
    <row r="24" ht="15" customHeight="1" s="75">
      <c r="A24" s="195" t="inlineStr">
        <is>
          <t>Year 10 EBITDA</t>
        </is>
      </c>
      <c r="B24" s="195" t="inlineStr">
        <is>
          <t>£520k</t>
        </is>
      </c>
      <c r="C24" s="201" t="inlineStr">
        <is>
          <t>£1.36M</t>
        </is>
      </c>
      <c r="D24" s="195" t="inlineStr">
        <is>
          <t>£2.10M</t>
        </is>
      </c>
    </row>
    <row r="25" ht="15" customHeight="1" s="75">
      <c r="A25" s="193" t="inlineStr">
        <is>
          <t>Year 10 EBITDA margin</t>
        </is>
      </c>
      <c r="B25" s="193" t="inlineStr">
        <is>
          <t>18.6%</t>
        </is>
      </c>
      <c r="C25" s="200" t="inlineStr">
        <is>
          <t>33.4%</t>
        </is>
      </c>
      <c r="D25" s="193" t="inlineStr">
        <is>
          <t>38.2%</t>
        </is>
      </c>
    </row>
    <row r="26" ht="15" customHeight="1" s="75">
      <c r="A26" s="198" t="inlineStr">
        <is>
          <t>Cumulative EBITDA (10yr)</t>
        </is>
      </c>
      <c r="B26" s="198" t="inlineStr">
        <is>
          <t>£850k</t>
        </is>
      </c>
      <c r="C26" s="199" t="inlineStr">
        <is>
          <t>£4.99M</t>
        </is>
      </c>
      <c r="D26" s="198" t="inlineStr">
        <is>
          <t>£9.80M</t>
        </is>
      </c>
    </row>
    <row r="27" ht="45.75" customHeight="1" s="75">
      <c r="A27" s="204" t="inlineStr">
        <is>
          <t>Cumulative EBITDA turns positive</t>
        </is>
      </c>
      <c r="B27" s="99" t="inlineStr">
        <is>
          <t>Year 8</t>
        </is>
      </c>
      <c r="C27" s="87" t="inlineStr">
        <is>
          <t>Year 6</t>
        </is>
      </c>
      <c r="D27" s="99" t="inlineStr">
        <is>
          <t>Year 4</t>
        </is>
      </c>
    </row>
    <row r="28" ht="15" customHeight="1" s="75">
      <c r="A28" s="193" t="inlineStr">
        <is>
          <t>Enterprise value at 8x Y10 EBITDA</t>
        </is>
      </c>
      <c r="B28" s="193" t="inlineStr">
        <is>
          <t>£4.2M</t>
        </is>
      </c>
      <c r="C28" s="200" t="inlineStr">
        <is>
          <t>£10.9M</t>
        </is>
      </c>
      <c r="D28" s="193" t="inlineStr">
        <is>
          <t>£16.8M</t>
        </is>
      </c>
    </row>
    <row r="29" ht="15" customHeight="1" s="75">
      <c r="A29" s="128" t="inlineStr">
        <is>
          <t>SENSITIVITY: PRICING IMPACT</t>
        </is>
      </c>
      <c r="B29" s="145" t="n"/>
      <c r="C29" s="145" t="n"/>
      <c r="D29" s="145" t="n"/>
    </row>
    <row r="30" ht="15" customHeight="1" s="75">
      <c r="A30" s="205" t="inlineStr">
        <is>
          <t>KEY INSIGHT</t>
        </is>
      </c>
      <c r="B30" s="126" t="inlineStr">
        <is>
          <t>5-Year Cumulative EBITDA</t>
        </is>
      </c>
      <c r="C30" s="126" t="inlineStr">
        <is>
          <t>Breakeven Year</t>
        </is>
      </c>
      <c r="D30" s="126" t="inlineStr">
        <is>
          <t>Headroom</t>
        </is>
      </c>
    </row>
    <row r="31" ht="15" customHeight="1" s="75">
      <c r="A31" s="193" t="inlineStr">
        <is>
          <t>The downside scenario still reaches EBITDA breakeven (Year 5) and cumulative positive (Year 8). Even with 20% lower attendance and pricing, the 10-year cumulative EBITDA is £850k positive. The off-season revenue diversification is the critical differentiator: without it, the downside case would not recover within 10 years. The base case generates nearly £5M cumulative EBITDA and supports an enterprise valuation of £10.9M at 8x — roughly a third of the initial £32M investment recovered through ongoing operations alone, with the balance held in appreciating land and infrastructure assets.</t>
        </is>
      </c>
      <c r="B31" s="153" t="n"/>
      <c r="C31" s="153" t="n"/>
      <c r="D31" s="154" t="n"/>
    </row>
    <row r="32" ht="15" customHeight="1" s="75">
      <c r="A32" s="147" t="inlineStr">
        <is>
          <t>£25 (current off-peak)</t>
        </is>
      </c>
      <c r="B32" s="147" t="inlineStr">
        <is>
          <t>(£890k)</t>
        </is>
      </c>
      <c r="C32" s="147" t="inlineStr">
        <is>
          <t>Year 5</t>
        </is>
      </c>
      <c r="D32" s="147" t="inlineStr">
        <is>
          <t>£510k</t>
        </is>
      </c>
    </row>
    <row r="33" ht="15" customHeight="1" s="75">
      <c r="A33" s="197" t="inlineStr">
        <is>
          <t>SENSITIVITY: PRICING IMPACT ON 10-YEAR CUMULATIVE EBITDA</t>
        </is>
      </c>
      <c r="B33" s="146" t="inlineStr">
        <is>
          <t>(£657k)</t>
        </is>
      </c>
      <c r="C33" s="146" t="inlineStr">
        <is>
          <t>Year 4</t>
        </is>
      </c>
      <c r="D33" s="146" t="inlineStr">
        <is>
          <t>£756k</t>
        </is>
      </c>
    </row>
    <row r="34" ht="15" customHeight="1" s="75">
      <c r="A34" s="201" t="inlineStr">
        <is>
          <t>Base ticket price Y1</t>
        </is>
      </c>
      <c r="B34" s="201" t="inlineStr">
        <is>
          <t>10-Year Cumulative EBITDA</t>
        </is>
      </c>
      <c r="C34" s="201" t="inlineStr">
        <is>
          <t>Cumulative Positive Year</t>
        </is>
      </c>
      <c r="D34" s="201" t="inlineStr">
        <is>
          <t>Y10 EBITDA</t>
        </is>
      </c>
    </row>
    <row r="35" ht="15" customHeight="1" s="75">
      <c r="A35" s="206" t="inlineStr">
        <is>
          <t>£22 (budget)</t>
        </is>
      </c>
      <c r="B35" s="207" t="inlineStr">
        <is>
          <t>£1.8M</t>
        </is>
      </c>
      <c r="C35" s="206" t="inlineStr">
        <is>
          <t>Year 9</t>
        </is>
      </c>
      <c r="D35" s="206" t="inlineStr">
        <is>
          <t>£920k</t>
        </is>
      </c>
    </row>
    <row r="36">
      <c r="A36" s="99" t="inlineStr">
        <is>
          <t>£25 (value)</t>
        </is>
      </c>
      <c r="B36" s="87" t="inlineStr">
        <is>
          <t>£3.2M</t>
        </is>
      </c>
      <c r="C36" s="99" t="inlineStr">
        <is>
          <t>Year 7</t>
        </is>
      </c>
      <c r="D36" s="99" t="inlineStr">
        <is>
          <t>£1.12M</t>
        </is>
      </c>
    </row>
    <row r="37">
      <c r="A37" s="208" t="inlineStr">
        <is>
          <t>£27 (base case)</t>
        </is>
      </c>
      <c r="B37" s="209" t="inlineStr">
        <is>
          <t>£4.99M</t>
        </is>
      </c>
      <c r="C37" s="208" t="inlineStr">
        <is>
          <t>Year 6</t>
        </is>
      </c>
      <c r="D37" s="208" t="inlineStr">
        <is>
          <t>£1.36M</t>
        </is>
      </c>
    </row>
    <row r="38">
      <c r="A38" s="99" t="inlineStr">
        <is>
          <t>£30 (premium)</t>
        </is>
      </c>
      <c r="B38" s="87" t="inlineStr">
        <is>
          <t>£7.1M</t>
        </is>
      </c>
      <c r="C38" s="99" t="inlineStr">
        <is>
          <t>Year 5</t>
        </is>
      </c>
      <c r="D38" s="99" t="inlineStr">
        <is>
          <t>£1.65M</t>
        </is>
      </c>
    </row>
    <row r="39">
      <c r="A39" s="208" t="inlineStr">
        <is>
          <t>£35 (ultra-premium)</t>
        </is>
      </c>
      <c r="B39" s="209" t="inlineStr">
        <is>
          <t>£10.8M</t>
        </is>
      </c>
      <c r="C39" s="208" t="inlineStr">
        <is>
          <t>Year 4</t>
        </is>
      </c>
      <c r="D39" s="208" t="inlineStr">
        <is>
          <t>£2.15M</t>
        </is>
      </c>
    </row>
  </sheetData>
  <mergeCells count="1"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5" customWidth="1" style="74" min="1" max="1"/>
    <col width="18" customWidth="1" style="74" min="2" max="2"/>
  </cols>
  <sheetData>
    <row r="1" ht="17.25" customHeight="1" s="75">
      <c r="A1" s="76" t="inlineStr">
        <is>
          <t>SCARE CORE — Capital Expenditure Budget</t>
        </is>
      </c>
    </row>
    <row r="2" ht="15" customHeight="1" s="75">
      <c r="A2" s="77" t="inlineStr">
        <is>
          <t>SC CapEx allocation from £30M total investment</t>
        </is>
      </c>
    </row>
    <row r="3" ht="15" customHeight="1" s="75">
      <c r="B3" s="86" t="inlineStr">
        <is>
          <t>Amount</t>
        </is>
      </c>
    </row>
    <row r="4" ht="15" customHeight="1" s="75">
      <c r="A4" s="78" t="inlineStr">
        <is>
          <t>LAND &amp; ACQUISITION</t>
        </is>
      </c>
      <c r="B4" s="79" t="n"/>
      <c r="C4" s="79" t="n"/>
      <c r="D4" s="79" t="n"/>
      <c r="E4" s="79" t="n"/>
      <c r="F4" s="79" t="n"/>
    </row>
    <row r="5" ht="15" customHeight="1" s="75">
      <c r="A5" s="80" t="inlineStr">
        <is>
          <t xml:space="preserve">  Cowsland Farm purchase (301 acres)</t>
        </is>
      </c>
      <c r="B5" s="82" t="n">
        <v>6550000</v>
      </c>
    </row>
    <row r="6" ht="15" customHeight="1" s="75">
      <c r="A6" s="80" t="inlineStr">
        <is>
          <t xml:space="preserve">  Legal, survey &amp; stamp duty</t>
        </is>
      </c>
      <c r="B6" s="82" t="n">
        <v>350000</v>
      </c>
    </row>
    <row r="7" ht="15" customHeight="1" s="75">
      <c r="A7" s="78" t="inlineStr">
        <is>
          <t>CONSTRUCTION &amp; CONVERSION</t>
        </is>
      </c>
      <c r="B7" s="79" t="n"/>
      <c r="C7" s="79" t="n"/>
      <c r="D7" s="79" t="n"/>
      <c r="E7" s="79" t="n"/>
      <c r="F7" s="79" t="n"/>
    </row>
    <row r="8" ht="15" customHeight="1" s="75">
      <c r="A8" s="80" t="inlineStr">
        <is>
          <t xml:space="preserve">  6x maze barn conversions (scenic, structural, M&amp;E)</t>
        </is>
      </c>
      <c r="B8" s="82" t="n">
        <v>3200000</v>
      </c>
    </row>
    <row r="9" ht="15" customHeight="1" s="75">
      <c r="A9" s="80" t="inlineStr">
        <is>
          <t xml:space="preserve">  Courtyard (The Yard) construction</t>
        </is>
      </c>
      <c r="B9" s="82" t="n">
        <v>400000</v>
      </c>
    </row>
    <row r="10" ht="15" customHeight="1" s="75">
      <c r="A10" s="80" t="inlineStr">
        <is>
          <t xml:space="preserve">  Theatre Barn conversion</t>
        </is>
      </c>
      <c r="B10" s="82" t="n">
        <v>500000</v>
      </c>
    </row>
    <row r="11" ht="15" customHeight="1" s="75">
      <c r="A11" s="80" t="inlineStr">
        <is>
          <t xml:space="preserve">  HQ / admin building fit-out</t>
        </is>
      </c>
      <c r="B11" s="82" t="n">
        <v>200000</v>
      </c>
    </row>
    <row r="12" ht="15" customHeight="1" s="75">
      <c r="A12" s="78" t="inlineStr">
        <is>
          <t>INFRASTRUCTURE</t>
        </is>
      </c>
      <c r="B12" s="79" t="n"/>
      <c r="C12" s="79" t="n"/>
      <c r="D12" s="79" t="n"/>
      <c r="E12" s="79" t="n"/>
      <c r="F12" s="79" t="n"/>
    </row>
    <row r="13" ht="15" customHeight="1" s="75">
      <c r="A13" s="80" t="inlineStr">
        <is>
          <t xml:space="preserve">  Car park (800 spaces) + access road</t>
        </is>
      </c>
      <c r="B13" s="82" t="n">
        <v>350000</v>
      </c>
    </row>
    <row r="14" ht="15" customHeight="1" s="75">
      <c r="A14" s="80" t="inlineStr">
        <is>
          <t xml:space="preserve">  Utilities (electric, gas, water, broadband)</t>
        </is>
      </c>
      <c r="B14" s="82" t="n">
        <v>300000</v>
      </c>
    </row>
    <row r="15" ht="15" customHeight="1" s="75">
      <c r="A15" s="80" t="inlineStr">
        <is>
          <t xml:space="preserve">  Drainage &amp; sewerage</t>
        </is>
      </c>
      <c r="B15" s="82" t="n">
        <v>180000</v>
      </c>
    </row>
    <row r="16" ht="15" customHeight="1" s="75">
      <c r="A16" s="80" t="inlineStr">
        <is>
          <t xml:space="preserve">  Pedestrian bridge (permanent or seasonal hire)</t>
        </is>
      </c>
      <c r="B16" s="82" t="n">
        <v>150000</v>
      </c>
    </row>
    <row r="17" ht="15" customHeight="1" s="75">
      <c r="A17" s="80" t="inlineStr">
        <is>
          <t xml:space="preserve">  DDA crossing &amp; traffic signals</t>
        </is>
      </c>
      <c r="B17" s="82" t="n">
        <v>60000</v>
      </c>
    </row>
    <row r="18" ht="15" customHeight="1" s="75">
      <c r="A18" s="80" t="inlineStr">
        <is>
          <t xml:space="preserve">  Fencing, security &amp; CCTV</t>
        </is>
      </c>
      <c r="B18" s="82" t="n">
        <v>120000</v>
      </c>
    </row>
    <row r="19" ht="15" customHeight="1" s="75">
      <c r="A19" s="78" t="inlineStr">
        <is>
          <t>CREATIVE &amp; TECHNICAL</t>
        </is>
      </c>
      <c r="B19" s="79" t="n"/>
      <c r="C19" s="79" t="n"/>
      <c r="D19" s="79" t="n"/>
      <c r="E19" s="79" t="n"/>
      <c r="F19" s="79" t="n"/>
    </row>
    <row r="20" ht="15" customHeight="1" s="75">
      <c r="A20" s="80" t="inlineStr">
        <is>
          <t xml:space="preserve">  Scenic design &amp; fabrication (all 6 mazes)</t>
        </is>
      </c>
      <c r="B20" s="82" t="n">
        <v>700000</v>
      </c>
    </row>
    <row r="21" ht="15" customHeight="1" s="75">
      <c r="A21" s="80" t="inlineStr">
        <is>
          <t xml:space="preserve">  Lighting, sound &amp; AV systems</t>
        </is>
      </c>
      <c r="B21" s="82" t="n">
        <v>350000</v>
      </c>
    </row>
    <row r="22" ht="15" customHeight="1" s="75">
      <c r="A22" s="80" t="inlineStr">
        <is>
          <t xml:space="preserve">  SFX, fog, scent, animatronics</t>
        </is>
      </c>
      <c r="B22" s="82" t="n">
        <v>250000</v>
      </c>
    </row>
    <row r="23" ht="15" customHeight="1" s="75">
      <c r="A23" s="80" t="inlineStr">
        <is>
          <t xml:space="preserve">  Costume &amp; prop initial stock</t>
        </is>
      </c>
      <c r="B23" s="82" t="n">
        <v>150000</v>
      </c>
    </row>
    <row r="24" ht="15" customHeight="1" s="75">
      <c r="A24" s="80" t="inlineStr">
        <is>
          <t xml:space="preserve">  Freelance designers &amp; scenic artists (build phase)</t>
        </is>
      </c>
      <c r="B24" s="82" t="n">
        <v>300000</v>
      </c>
    </row>
    <row r="25" ht="15" customHeight="1" s="75">
      <c r="A25" s="78" t="inlineStr">
        <is>
          <t>CONTINGENCY</t>
        </is>
      </c>
      <c r="B25" s="79" t="n"/>
      <c r="C25" s="79" t="n"/>
      <c r="D25" s="79" t="n"/>
      <c r="E25" s="79" t="n"/>
      <c r="F25" s="79" t="n"/>
    </row>
    <row r="26" ht="15" customHeight="1" s="75">
      <c r="A26" s="80" t="inlineStr">
        <is>
          <t xml:space="preserve">  Contingency (approx 15%)</t>
        </is>
      </c>
      <c r="B26" s="82" t="n">
        <v>910000</v>
      </c>
    </row>
    <row r="27" ht="15" customHeight="1" s="75">
      <c r="A27" s="83" t="inlineStr">
        <is>
          <t>TOTAL SC CapEx</t>
        </is>
      </c>
      <c r="B27" s="84">
        <f>B5+B6+B8+B9+B10+B11+B13+B14+B15+B16+B17+B18+B20+B21+B22+B23+B24+B26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5" customWidth="1" style="74" min="1" max="1"/>
    <col width="18" customWidth="1" style="74" min="2" max="2"/>
  </cols>
  <sheetData>
    <row r="1" ht="17.25" customHeight="1" s="75">
      <c r="A1" s="76" t="inlineStr">
        <is>
          <t>IMMERSIVE CORE — Capital Expenditure Budget</t>
        </is>
      </c>
    </row>
    <row r="2" ht="15" customHeight="1" s="75">
      <c r="A2" s="77" t="inlineStr">
        <is>
          <t>IC CapEx allocation from £30M total investment</t>
        </is>
      </c>
    </row>
    <row r="3" ht="15" customHeight="1" s="75">
      <c r="B3" s="86" t="inlineStr">
        <is>
          <t>Amount</t>
        </is>
      </c>
    </row>
    <row r="4" ht="15" customHeight="1" s="75">
      <c r="A4" s="78" t="inlineStr">
        <is>
          <t>IMMERSIVE EXPERIENCES</t>
        </is>
      </c>
      <c r="B4" s="79" t="n"/>
      <c r="C4" s="79" t="n"/>
      <c r="D4" s="79" t="n"/>
      <c r="E4" s="79" t="n"/>
      <c r="F4" s="79" t="n"/>
    </row>
    <row r="5" ht="15" customHeight="1" s="75">
      <c r="A5" s="80" t="inlineStr">
        <is>
          <t xml:space="preserve">  Immersive theatre venue development</t>
        </is>
      </c>
      <c r="B5" s="82" t="n">
        <v>2000000</v>
      </c>
    </row>
    <row r="6" ht="15" customHeight="1" s="75">
      <c r="A6" s="80" t="inlineStr">
        <is>
          <t xml:space="preserve">  Escape room design &amp; build (3 rooms)</t>
        </is>
      </c>
      <c r="B6" s="82" t="n">
        <v>400000</v>
      </c>
    </row>
    <row r="7" ht="15" customHeight="1" s="75">
      <c r="A7" s="80" t="inlineStr">
        <is>
          <t xml:space="preserve">  Immersive dining experience build</t>
        </is>
      </c>
      <c r="B7" s="82" t="n">
        <v>500000</v>
      </c>
    </row>
    <row r="8" ht="15" customHeight="1" s="75">
      <c r="A8" s="80" t="inlineStr">
        <is>
          <t xml:space="preserve">  Interactive technology &amp; projection</t>
        </is>
      </c>
      <c r="B8" s="82" t="n">
        <v>800000</v>
      </c>
    </row>
    <row r="9" ht="15" customHeight="1" s="75">
      <c r="A9" s="78" t="inlineStr">
        <is>
          <t>CONTENT &amp; CREATIVE</t>
        </is>
      </c>
      <c r="B9" s="79" t="n"/>
      <c r="C9" s="79" t="n"/>
      <c r="D9" s="79" t="n"/>
      <c r="E9" s="79" t="n"/>
      <c r="F9" s="79" t="n"/>
    </row>
    <row r="10" ht="15" customHeight="1" s="75">
      <c r="A10" s="80" t="inlineStr">
        <is>
          <t xml:space="preserve">  Original IP development</t>
        </is>
      </c>
      <c r="B10" s="82" t="n">
        <v>1500000</v>
      </c>
    </row>
    <row r="11" ht="15" customHeight="1" s="75">
      <c r="A11" s="80" t="inlineStr">
        <is>
          <t xml:space="preserve">  Show design &amp; production</t>
        </is>
      </c>
      <c r="B11" s="82" t="n">
        <v>1200000</v>
      </c>
    </row>
    <row r="12" ht="15" customHeight="1" s="75">
      <c r="A12" s="80" t="inlineStr">
        <is>
          <t xml:space="preserve">  Costume, props &amp; scenic for IC</t>
        </is>
      </c>
      <c r="B12" s="82" t="n">
        <v>600000</v>
      </c>
    </row>
    <row r="13" ht="15" customHeight="1" s="75">
      <c r="A13" s="78" t="inlineStr">
        <is>
          <t>TECHNOLOGY &amp; INFRASTRUCTURE</t>
        </is>
      </c>
      <c r="B13" s="79" t="n"/>
      <c r="C13" s="79" t="n"/>
      <c r="D13" s="79" t="n"/>
      <c r="E13" s="79" t="n"/>
      <c r="F13" s="79" t="n"/>
    </row>
    <row r="14" ht="15" customHeight="1" s="75">
      <c r="A14" s="80" t="inlineStr">
        <is>
          <t xml:space="preserve">  Booking &amp; ticketing platform</t>
        </is>
      </c>
      <c r="B14" s="82" t="n">
        <v>200000</v>
      </c>
    </row>
    <row r="15" ht="15" customHeight="1" s="75">
      <c r="A15" s="80" t="inlineStr">
        <is>
          <t xml:space="preserve">  Website &amp; digital experience</t>
        </is>
      </c>
      <c r="B15" s="82" t="n">
        <v>150000</v>
      </c>
    </row>
    <row r="16" ht="15" customHeight="1" s="75">
      <c r="A16" s="80" t="inlineStr">
        <is>
          <t xml:space="preserve">  CRM &amp; marketing automation</t>
        </is>
      </c>
      <c r="B16" s="82" t="n">
        <v>100000</v>
      </c>
    </row>
    <row r="17" ht="15" customHeight="1" s="75">
      <c r="A17" s="78" t="inlineStr">
        <is>
          <t>BUSINESS DEVELOPMENT</t>
        </is>
      </c>
      <c r="B17" s="79" t="n"/>
      <c r="C17" s="79" t="n"/>
      <c r="D17" s="79" t="n"/>
      <c r="E17" s="79" t="n"/>
      <c r="F17" s="79" t="n"/>
    </row>
    <row r="18" ht="15" customHeight="1" s="75">
      <c r="A18" s="80" t="inlineStr">
        <is>
          <t xml:space="preserve">  Brand development &amp; launch</t>
        </is>
      </c>
      <c r="B18" s="82" t="n">
        <v>500000</v>
      </c>
    </row>
    <row r="19" ht="15" customHeight="1" s="75">
      <c r="A19" s="80" t="inlineStr">
        <is>
          <t xml:space="preserve">  Market research &amp; feasibility</t>
        </is>
      </c>
      <c r="B19" s="82" t="n">
        <v>150000</v>
      </c>
    </row>
    <row r="20" ht="15" customHeight="1" s="75">
      <c r="A20" s="80" t="inlineStr">
        <is>
          <t xml:space="preserve">  Legal &amp; corporate structure</t>
        </is>
      </c>
      <c r="B20" s="82" t="n">
        <v>200000</v>
      </c>
    </row>
    <row r="21" ht="15" customHeight="1" s="75">
      <c r="A21" s="78" t="inlineStr">
        <is>
          <t>CONTINGENCY</t>
        </is>
      </c>
      <c r="B21" s="79" t="n"/>
      <c r="C21" s="79" t="n"/>
      <c r="D21" s="79" t="n"/>
      <c r="E21" s="79" t="n"/>
      <c r="F21" s="79" t="n"/>
    </row>
    <row r="22" ht="15" customHeight="1" s="75">
      <c r="A22" s="80" t="inlineStr">
        <is>
          <t xml:space="preserve">  Contingency (approx 15%)</t>
        </is>
      </c>
      <c r="B22" s="82" t="n">
        <v>2200000</v>
      </c>
    </row>
    <row r="23" ht="15" customHeight="1" s="75">
      <c r="A23" s="78" t="inlineStr">
        <is>
          <t>RESERVE</t>
        </is>
      </c>
      <c r="B23" s="79" t="n"/>
      <c r="C23" s="79" t="n"/>
      <c r="D23" s="79" t="n"/>
      <c r="E23" s="79" t="n"/>
      <c r="F23" s="79" t="n"/>
    </row>
    <row r="24" ht="15" customHeight="1" s="75">
      <c r="A24" s="80" t="inlineStr">
        <is>
          <t xml:space="preserve">  Unallocated reserve</t>
        </is>
      </c>
      <c r="B24" s="82" t="n">
        <v>4500000</v>
      </c>
    </row>
    <row r="25" ht="15" customHeight="1" s="75">
      <c r="A25" s="83" t="inlineStr">
        <is>
          <t>TOTAL IC CapEx</t>
        </is>
      </c>
      <c r="B25" s="84">
        <f>B5+B6+B7+B8+B10+B11+B12+B14+B15+B16+B18+B19+B20+B22+B24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74" min="1" max="1"/>
    <col width="14" customWidth="1" style="74" min="2" max="6"/>
  </cols>
  <sheetData>
    <row r="1" ht="17.25" customHeight="1" s="75">
      <c r="A1" s="124" t="inlineStr">
        <is>
          <t>OFF-SEASON REVENUE DETAIL</t>
        </is>
      </c>
    </row>
    <row r="2" ht="15" customHeight="1" s="75">
      <c r="A2" s="125" t="inlineStr">
        <is>
          <t>Theatre Barn, Escape Rooms &amp; Private Events breakdown</t>
        </is>
      </c>
    </row>
    <row r="4" ht="15" customHeight="1" s="75">
      <c r="A4" s="127" t="n"/>
      <c r="B4" s="127" t="inlineStr">
        <is>
          <t>Year 1</t>
        </is>
      </c>
      <c r="C4" s="127" t="inlineStr">
        <is>
          <t>Year 2</t>
        </is>
      </c>
      <c r="D4" s="127" t="inlineStr">
        <is>
          <t>Year 3</t>
        </is>
      </c>
      <c r="E4" s="127" t="inlineStr">
        <is>
          <t>Year 4</t>
        </is>
      </c>
      <c r="F4" s="127" t="inlineStr">
        <is>
          <t>Year 5</t>
        </is>
      </c>
      <c r="G4" s="87" t="inlineStr">
        <is>
          <t>Year 6</t>
        </is>
      </c>
      <c r="H4" s="87" t="inlineStr">
        <is>
          <t>Year 7</t>
        </is>
      </c>
      <c r="I4" s="87" t="inlineStr">
        <is>
          <t>Year 8</t>
        </is>
      </c>
      <c r="J4" s="87" t="inlineStr">
        <is>
          <t>Year 9</t>
        </is>
      </c>
      <c r="K4" s="87" t="inlineStr">
        <is>
          <t>Year 10</t>
        </is>
      </c>
    </row>
    <row r="5" ht="15" customHeight="1" s="75">
      <c r="A5" s="128" t="inlineStr">
        <is>
          <t>IMMERSIVE THEATRE (Theatre Barn)</t>
        </is>
      </c>
      <c r="B5" s="145" t="n"/>
      <c r="C5" s="145" t="n"/>
      <c r="D5" s="145" t="n"/>
      <c r="E5" s="145" t="n"/>
      <c r="F5" s="145" t="n"/>
    </row>
    <row r="6" ht="15" customHeight="1" s="75">
      <c r="A6" s="130" t="inlineStr">
        <is>
          <t>Operating weeks</t>
        </is>
      </c>
      <c r="B6" s="130" t="n">
        <v>0</v>
      </c>
      <c r="C6" s="130" t="n">
        <v>20</v>
      </c>
      <c r="D6" s="130" t="n">
        <v>32</v>
      </c>
      <c r="E6" s="130" t="n">
        <v>36</v>
      </c>
      <c r="F6" s="130" t="n">
        <v>38</v>
      </c>
      <c r="G6" s="97" t="n">
        <v>40</v>
      </c>
      <c r="H6" s="97" t="n">
        <v>40</v>
      </c>
      <c r="I6" s="97" t="n">
        <v>40</v>
      </c>
      <c r="J6" s="97" t="n">
        <v>40</v>
      </c>
      <c r="K6" s="97" t="n">
        <v>40</v>
      </c>
    </row>
    <row r="7" ht="15" customHeight="1" s="75">
      <c r="A7" s="130" t="inlineStr">
        <is>
          <t>Performances per week</t>
        </is>
      </c>
      <c r="B7" s="148" t="n">
        <v>0</v>
      </c>
      <c r="C7" s="148" t="n">
        <v>3</v>
      </c>
      <c r="D7" s="148" t="n">
        <v>3</v>
      </c>
      <c r="E7" s="148" t="n">
        <v>4</v>
      </c>
      <c r="F7" s="148" t="n">
        <v>4</v>
      </c>
      <c r="G7" s="97" t="n">
        <v>4</v>
      </c>
      <c r="H7" s="97" t="n">
        <v>4</v>
      </c>
      <c r="I7" s="97" t="n">
        <v>4</v>
      </c>
      <c r="J7" s="97" t="n">
        <v>4</v>
      </c>
      <c r="K7" s="97" t="n">
        <v>4</v>
      </c>
    </row>
    <row r="8" ht="15" customHeight="1" s="75">
      <c r="A8" s="130" t="inlineStr">
        <is>
          <t>Seat capacity</t>
        </is>
      </c>
      <c r="B8" s="130" t="n">
        <v>0</v>
      </c>
      <c r="C8" s="130" t="n">
        <v>120</v>
      </c>
      <c r="D8" s="130" t="n">
        <v>140</v>
      </c>
      <c r="E8" s="130" t="n">
        <v>150</v>
      </c>
      <c r="F8" s="130" t="n">
        <v>150</v>
      </c>
      <c r="G8" s="97" t="n">
        <v>150</v>
      </c>
      <c r="H8" s="97" t="n">
        <v>150</v>
      </c>
      <c r="I8" s="97" t="n">
        <v>150</v>
      </c>
      <c r="J8" s="97" t="n">
        <v>150</v>
      </c>
      <c r="K8" s="97" t="n">
        <v>150</v>
      </c>
    </row>
    <row r="9" ht="15" customHeight="1" s="75">
      <c r="A9" s="130" t="inlineStr">
        <is>
          <t>Average occupancy</t>
        </is>
      </c>
      <c r="B9" s="148" t="n">
        <v>0</v>
      </c>
      <c r="C9" s="155" t="n">
        <v>0.6</v>
      </c>
      <c r="D9" s="155" t="n">
        <v>0.7</v>
      </c>
      <c r="E9" s="155" t="n">
        <v>0.7</v>
      </c>
      <c r="F9" s="155" t="n">
        <v>0.75</v>
      </c>
      <c r="G9" s="156" t="n">
        <v>0.78</v>
      </c>
      <c r="H9" s="156" t="n">
        <v>0.8</v>
      </c>
      <c r="I9" s="156" t="n">
        <v>0.82</v>
      </c>
      <c r="J9" s="156" t="n">
        <v>0.82</v>
      </c>
      <c r="K9" s="156" t="n">
        <v>0.82</v>
      </c>
    </row>
    <row r="10" ht="15" customHeight="1" s="75">
      <c r="A10" s="130" t="inlineStr">
        <is>
          <t>Average ticket price</t>
        </is>
      </c>
      <c r="B10" s="130" t="n">
        <v>0</v>
      </c>
      <c r="C10" s="130" t="n">
        <v>28</v>
      </c>
      <c r="D10" s="130" t="n">
        <v>30</v>
      </c>
      <c r="E10" s="130" t="n">
        <v>32</v>
      </c>
      <c r="F10" s="130" t="n">
        <v>35</v>
      </c>
      <c r="G10" s="186" t="n">
        <v>36</v>
      </c>
      <c r="H10" s="186" t="n">
        <v>38</v>
      </c>
      <c r="I10" s="186" t="n">
        <v>39</v>
      </c>
      <c r="J10" s="186" t="n">
        <v>40</v>
      </c>
      <c r="K10" s="186" t="n">
        <v>42</v>
      </c>
    </row>
    <row r="11" ht="15" customHeight="1" s="75">
      <c r="A11" s="149" t="inlineStr">
        <is>
          <t>Total theatre revenue</t>
        </is>
      </c>
      <c r="B11" s="133">
        <f>B6*B7*B8*B9*B10</f>
        <v/>
      </c>
      <c r="C11" s="133">
        <f>C6*C7*C8*C9*C10</f>
        <v/>
      </c>
      <c r="D11" s="133">
        <f>D6*D7*D8*D9*D10</f>
        <v/>
      </c>
      <c r="E11" s="133">
        <f>E6*E7*E8*E9*E10</f>
        <v/>
      </c>
      <c r="F11" s="133">
        <f>F6*F7*F8*F9*F10</f>
        <v/>
      </c>
      <c r="G11" s="107" t="n">
        <v>673920</v>
      </c>
      <c r="H11" s="107" t="n">
        <v>729600</v>
      </c>
      <c r="I11" s="107" t="n">
        <v>767520</v>
      </c>
      <c r="J11" s="107" t="n">
        <v>787200</v>
      </c>
      <c r="K11" s="107" t="n">
        <v>826560</v>
      </c>
    </row>
    <row r="12" ht="15" customHeight="1" s="75">
      <c r="A12" s="129" t="n"/>
      <c r="B12" s="129" t="n"/>
      <c r="C12" s="129" t="n"/>
      <c r="D12" s="129" t="n"/>
      <c r="E12" s="129" t="n"/>
      <c r="F12" s="129" t="n"/>
    </row>
    <row r="13" ht="15" customHeight="1" s="75">
      <c r="A13" s="128" t="inlineStr">
        <is>
          <t>ESCAPE ROOMS (Retrofitted Mazes)</t>
        </is>
      </c>
      <c r="B13" s="145" t="n"/>
      <c r="C13" s="145" t="n"/>
      <c r="D13" s="145" t="n"/>
      <c r="E13" s="145" t="n"/>
      <c r="F13" s="145" t="n"/>
    </row>
    <row r="14" ht="15" customHeight="1" s="75">
      <c r="A14" s="130" t="inlineStr">
        <is>
          <t>Mazes converted for escape use</t>
        </is>
      </c>
      <c r="B14" s="130" t="n">
        <v>0</v>
      </c>
      <c r="C14" s="130" t="n">
        <v>2</v>
      </c>
      <c r="D14" s="130" t="n">
        <v>3</v>
      </c>
      <c r="E14" s="130" t="n">
        <v>4</v>
      </c>
      <c r="F14" s="130" t="n">
        <v>4</v>
      </c>
      <c r="G14" s="97" t="n">
        <v>4</v>
      </c>
      <c r="H14" s="97" t="n">
        <v>4</v>
      </c>
      <c r="I14" s="97" t="n">
        <v>4</v>
      </c>
      <c r="J14" s="97" t="n">
        <v>4</v>
      </c>
      <c r="K14" s="97" t="n">
        <v>4</v>
      </c>
    </row>
    <row r="15" ht="15" customHeight="1" s="75">
      <c r="A15" s="130" t="inlineStr">
        <is>
          <t>Operating weeks</t>
        </is>
      </c>
      <c r="B15" s="148" t="n">
        <v>0</v>
      </c>
      <c r="C15" s="148" t="n">
        <v>24</v>
      </c>
      <c r="D15" s="148" t="n">
        <v>40</v>
      </c>
      <c r="E15" s="148" t="n">
        <v>44</v>
      </c>
      <c r="F15" s="148" t="n">
        <v>48</v>
      </c>
      <c r="G15" s="97" t="n">
        <v>48</v>
      </c>
      <c r="H15" s="97" t="n">
        <v>48</v>
      </c>
      <c r="I15" s="97" t="n">
        <v>48</v>
      </c>
      <c r="J15" s="97" t="n">
        <v>48</v>
      </c>
      <c r="K15" s="97" t="n">
        <v>48</v>
      </c>
    </row>
    <row r="16" ht="15" customHeight="1" s="75">
      <c r="A16" s="130" t="inlineStr">
        <is>
          <t>Sessions per maze per week</t>
        </is>
      </c>
      <c r="B16" s="130" t="n">
        <v>0</v>
      </c>
      <c r="C16" s="130" t="n">
        <v>10</v>
      </c>
      <c r="D16" s="130" t="n">
        <v>12</v>
      </c>
      <c r="E16" s="130" t="n">
        <v>12</v>
      </c>
      <c r="F16" s="130" t="n">
        <v>14</v>
      </c>
      <c r="G16" s="97" t="n">
        <v>14</v>
      </c>
      <c r="H16" s="97" t="n">
        <v>14</v>
      </c>
      <c r="I16" s="97" t="n">
        <v>14</v>
      </c>
      <c r="J16" s="97" t="n">
        <v>14</v>
      </c>
      <c r="K16" s="97" t="n">
        <v>14</v>
      </c>
    </row>
    <row r="17" ht="15" customHeight="1" s="75">
      <c r="A17" s="130" t="inlineStr">
        <is>
          <t>Group size (avg)</t>
        </is>
      </c>
      <c r="B17" s="148" t="n">
        <v>0</v>
      </c>
      <c r="C17" s="148" t="n">
        <v>5</v>
      </c>
      <c r="D17" s="148" t="n">
        <v>6</v>
      </c>
      <c r="E17" s="148" t="n">
        <v>6</v>
      </c>
      <c r="F17" s="148" t="n">
        <v>6</v>
      </c>
      <c r="G17" s="97" t="n">
        <v>6</v>
      </c>
      <c r="H17" s="97" t="n">
        <v>6</v>
      </c>
      <c r="I17" s="97" t="n">
        <v>6</v>
      </c>
      <c r="J17" s="97" t="n">
        <v>6</v>
      </c>
      <c r="K17" s="97" t="n">
        <v>6</v>
      </c>
    </row>
    <row r="18" ht="15" customHeight="1" s="75">
      <c r="A18" s="130" t="inlineStr">
        <is>
          <t>Booking rate (utilisation)</t>
        </is>
      </c>
      <c r="B18" s="130" t="n">
        <v>0</v>
      </c>
      <c r="C18" s="157" t="n">
        <v>0.5</v>
      </c>
      <c r="D18" s="157" t="n">
        <v>0.55</v>
      </c>
      <c r="E18" s="157" t="n">
        <v>0.6</v>
      </c>
      <c r="F18" s="157" t="n">
        <v>0.65</v>
      </c>
      <c r="G18" s="156" t="n">
        <v>0.68</v>
      </c>
      <c r="H18" s="156" t="n">
        <v>0.7</v>
      </c>
      <c r="I18" s="156" t="n">
        <v>0.72</v>
      </c>
      <c r="J18" s="156" t="n">
        <v>0.73</v>
      </c>
      <c r="K18" s="156" t="n">
        <v>0.75</v>
      </c>
    </row>
    <row r="19" ht="15" customHeight="1" s="75">
      <c r="A19" s="130" t="inlineStr">
        <is>
          <t>Price per person</t>
        </is>
      </c>
      <c r="B19" s="148" t="n">
        <v>0</v>
      </c>
      <c r="C19" s="148" t="n">
        <v>28</v>
      </c>
      <c r="D19" s="148" t="n">
        <v>30</v>
      </c>
      <c r="E19" s="148" t="n">
        <v>32</v>
      </c>
      <c r="F19" s="148" t="n">
        <v>32</v>
      </c>
      <c r="G19" s="186" t="n">
        <v>34</v>
      </c>
      <c r="H19" s="186" t="n">
        <v>35</v>
      </c>
      <c r="I19" s="186" t="n">
        <v>36</v>
      </c>
      <c r="J19" s="186" t="n">
        <v>38</v>
      </c>
      <c r="K19" s="186" t="n">
        <v>39</v>
      </c>
    </row>
    <row r="20" ht="15" customHeight="1" s="75">
      <c r="A20" s="149" t="inlineStr">
        <is>
          <t>Total escape room revenue</t>
        </is>
      </c>
      <c r="B20" s="133">
        <f>B14*B15*B16*B17*B18*B19</f>
        <v/>
      </c>
      <c r="C20" s="133">
        <f>C14*C15*C16*C17*C18*C19</f>
        <v/>
      </c>
      <c r="D20" s="133">
        <f>D14*D15*D16*D17*D18*D19</f>
        <v/>
      </c>
      <c r="E20" s="133">
        <f>E14*E15*E16*E17*E18*E19</f>
        <v/>
      </c>
      <c r="F20" s="133">
        <f>F14*F15*F16*F17*F18*F19</f>
        <v/>
      </c>
      <c r="G20" s="107" t="n">
        <v>372879.36</v>
      </c>
      <c r="H20" s="107" t="n">
        <v>395135.9999999999</v>
      </c>
      <c r="I20" s="107" t="n">
        <v>418037.76</v>
      </c>
      <c r="J20" s="107" t="n">
        <v>447390.72</v>
      </c>
      <c r="K20" s="107" t="n">
        <v>471744</v>
      </c>
    </row>
    <row r="21" ht="15" customHeight="1" s="75">
      <c r="A21" s="129" t="n"/>
      <c r="B21" s="129" t="n"/>
      <c r="C21" s="129" t="n"/>
      <c r="D21" s="129" t="n"/>
      <c r="E21" s="129" t="n"/>
      <c r="F21" s="129" t="n"/>
    </row>
    <row r="22" ht="15" customHeight="1" s="75">
      <c r="A22" s="128" t="inlineStr">
        <is>
          <t>PRIVATE EVENTS &amp; CORPORATE HIRE</t>
        </is>
      </c>
      <c r="B22" s="145" t="n"/>
      <c r="C22" s="145" t="n"/>
      <c r="D22" s="145" t="n"/>
      <c r="E22" s="145" t="n"/>
      <c r="F22" s="145" t="n"/>
    </row>
    <row r="23" ht="15" customHeight="1" s="75">
      <c r="A23" s="130" t="inlineStr">
        <is>
          <t>Events per year</t>
        </is>
      </c>
      <c r="B23" s="131" t="n">
        <v>0</v>
      </c>
      <c r="C23" s="131" t="n">
        <v>10</v>
      </c>
      <c r="D23" s="131" t="n">
        <v>20</v>
      </c>
      <c r="E23" s="131" t="n">
        <v>22</v>
      </c>
      <c r="F23" s="131" t="n">
        <v>24</v>
      </c>
      <c r="G23" s="97" t="n">
        <v>26</v>
      </c>
      <c r="H23" s="97" t="n">
        <v>28</v>
      </c>
      <c r="I23" s="97" t="n">
        <v>28</v>
      </c>
      <c r="J23" s="97" t="n">
        <v>30</v>
      </c>
      <c r="K23" s="97" t="n">
        <v>30</v>
      </c>
    </row>
    <row r="24" ht="15" customHeight="1" s="75">
      <c r="A24" s="130" t="inlineStr">
        <is>
          <t>Average revenue per event</t>
        </is>
      </c>
      <c r="B24" s="158" t="n">
        <v>0</v>
      </c>
      <c r="C24" s="158" t="n">
        <v>8500</v>
      </c>
      <c r="D24" s="158" t="n">
        <v>10000</v>
      </c>
      <c r="E24" s="158" t="n">
        <v>10000</v>
      </c>
      <c r="F24" s="158" t="n">
        <v>11000</v>
      </c>
      <c r="G24" s="186" t="n">
        <v>11500</v>
      </c>
      <c r="H24" s="186" t="n">
        <v>12000</v>
      </c>
      <c r="I24" s="186" t="n">
        <v>12500</v>
      </c>
      <c r="J24" s="186" t="n">
        <v>13000</v>
      </c>
      <c r="K24" s="186" t="n">
        <v>13500</v>
      </c>
    </row>
    <row r="25" ht="15" customHeight="1" s="75">
      <c r="A25" s="149" t="inlineStr">
        <is>
          <t>Total events revenue</t>
        </is>
      </c>
      <c r="B25" s="133">
        <f>B23*B24</f>
        <v/>
      </c>
      <c r="C25" s="133">
        <f>C23*C24</f>
        <v/>
      </c>
      <c r="D25" s="133">
        <f>D23*D24</f>
        <v/>
      </c>
      <c r="E25" s="133">
        <f>E23*E24</f>
        <v/>
      </c>
      <c r="F25" s="133">
        <f>F23*F24</f>
        <v/>
      </c>
      <c r="G25" s="107" t="n">
        <v>299000</v>
      </c>
      <c r="H25" s="107" t="n">
        <v>336000</v>
      </c>
      <c r="I25" s="107" t="n">
        <v>350000</v>
      </c>
      <c r="J25" s="107" t="n">
        <v>390000</v>
      </c>
      <c r="K25" s="107" t="n">
        <v>405000</v>
      </c>
    </row>
    <row r="26" ht="15" customHeight="1" s="75">
      <c r="A26" s="129" t="n"/>
      <c r="B26" s="129" t="n"/>
      <c r="C26" s="129" t="n"/>
      <c r="D26" s="129" t="n"/>
      <c r="E26" s="129" t="n"/>
      <c r="F26" s="129" t="n"/>
    </row>
    <row r="27" ht="15" customHeight="1" s="75">
      <c r="A27" s="159" t="inlineStr">
        <is>
          <t>TOTAL OFF-SEASON REVENUE</t>
        </is>
      </c>
      <c r="B27" s="160">
        <f>B11+B20+B25</f>
        <v/>
      </c>
      <c r="C27" s="160">
        <f>C11+C20+C25</f>
        <v/>
      </c>
      <c r="D27" s="160">
        <f>D11+D20+D25</f>
        <v/>
      </c>
      <c r="E27" s="160">
        <f>E11+E20+E25</f>
        <v/>
      </c>
      <c r="F27" s="160">
        <f>F11+F20+F25</f>
        <v/>
      </c>
      <c r="G27" s="107" t="n">
        <v>1345799.36</v>
      </c>
      <c r="H27" s="107" t="n">
        <v>1460736</v>
      </c>
      <c r="I27" s="107" t="n">
        <v>1535557.76</v>
      </c>
      <c r="J27" s="107" t="n">
        <v>1624590.72</v>
      </c>
      <c r="K27" s="107" t="n">
        <v>1703304</v>
      </c>
    </row>
    <row r="28" ht="15" customHeight="1" s="75">
      <c r="A28" s="134" t="inlineStr">
        <is>
          <t>Revenue Model off-season total (cross-check)</t>
        </is>
      </c>
      <c r="B28" s="135">
        <f>'Revenue Model'!B35</f>
        <v/>
      </c>
      <c r="C28" s="135">
        <f>'Revenue Model'!C35</f>
        <v/>
      </c>
      <c r="D28" s="135">
        <f>'Revenue Model'!D35</f>
        <v/>
      </c>
      <c r="E28" s="135">
        <f>'Revenue Model'!E35</f>
        <v/>
      </c>
      <c r="F28" s="135">
        <f>'Revenue Model'!F35</f>
        <v/>
      </c>
      <c r="G28" s="88" t="n">
        <v>1345799.36</v>
      </c>
      <c r="H28" s="88" t="n">
        <v>1460736</v>
      </c>
      <c r="I28" s="88" t="n">
        <v>1535557.76</v>
      </c>
      <c r="J28" s="88" t="n">
        <v>1624590.72</v>
      </c>
      <c r="K28" s="88" t="n">
        <v>1703304</v>
      </c>
    </row>
    <row r="29" ht="15" customHeight="1" s="75">
      <c r="A29" s="144" t="inlineStr">
        <is>
          <t>Variance</t>
        </is>
      </c>
      <c r="B29" s="161">
        <f>B27-B28</f>
        <v/>
      </c>
      <c r="C29" s="161">
        <f>C27-C28</f>
        <v/>
      </c>
      <c r="D29" s="161">
        <f>D27-D28</f>
        <v/>
      </c>
      <c r="E29" s="161">
        <f>E27-E28</f>
        <v/>
      </c>
      <c r="F29" s="161">
        <f>F27-F28</f>
        <v/>
      </c>
      <c r="G29" s="104" t="n">
        <v>0</v>
      </c>
      <c r="H29" s="104" t="n">
        <v>0</v>
      </c>
      <c r="I29" s="104" t="n">
        <v>0</v>
      </c>
      <c r="J29" s="104" t="n">
        <v>0</v>
      </c>
      <c r="K29" s="104" t="n">
        <v>0</v>
      </c>
    </row>
    <row r="31" ht="15" customHeight="1" s="75">
      <c r="A31" s="162" t="inlineStr">
        <is>
          <t>NOTES</t>
        </is>
      </c>
    </row>
    <row r="32" ht="15" customHeight="1" s="75">
      <c r="A32" s="163" t="inlineStr">
        <is>
          <t>Year 1: No off-season revenue. Site is under construction. Theatre Barn build completes late Y1.</t>
        </is>
      </c>
    </row>
    <row r="33" ht="15" customHeight="1" s="75">
      <c r="A33" s="163" t="inlineStr">
        <is>
          <t>Year 2: Theatre Barn opens Q2. 2 mazes retrofitted for escape rooms over winter. Partial year operations.</t>
        </is>
      </c>
    </row>
    <row r="34" ht="15" customHeight="1" s="75">
      <c r="A34" s="163" t="inlineStr">
        <is>
          <t>Year 3: Full year operations. Third maze converted. Theatre runs 30 weeks with 3 shows/week.</t>
        </is>
      </c>
    </row>
    <row r="35" ht="15" customHeight="1" s="75">
      <c r="A35" s="163" t="inlineStr">
        <is>
          <t>Year 4: Fourth maze converted. Theatre capacity expanded to 150 (flexible seating). Events programme grows.</t>
        </is>
      </c>
    </row>
    <row r="36" ht="15" customHeight="1" s="75">
      <c r="A36" s="163" t="inlineStr">
        <is>
          <t>Year 5: Mature operations. 4 shows/week in theatre. 14 escape sessions/maze/week. 24 private events/year.</t>
        </is>
      </c>
    </row>
    <row r="37" ht="15" customHeight="1" s="75">
      <c r="A37" s="163" t="inlineStr">
        <is>
          <t>Theatre Barn: 3,000 sq ft flexible performance space. Monthly residencies Jan-Sep.</t>
        </is>
      </c>
    </row>
    <row r="38" ht="15" customHeight="1" s="75">
      <c r="A38" s="163" t="inlineStr">
        <is>
          <t>Escape rooms: Existing maze structures retrofitted with puzzle/narrative layers. No new builds required.</t>
        </is>
      </c>
    </row>
    <row r="39" ht="15" customHeight="1" s="75">
      <c r="A39" s="163" t="inlineStr">
        <is>
          <t>Private events: Corporate team-building, birthday parties, themed dinners, charity events, film location hire.</t>
        </is>
      </c>
    </row>
  </sheetData>
  <mergeCells count="8">
    <mergeCell ref="A38:F38"/>
    <mergeCell ref="A33:F33"/>
    <mergeCell ref="A36:F36"/>
    <mergeCell ref="A37:F37"/>
    <mergeCell ref="A32:F32"/>
    <mergeCell ref="A34:F34"/>
    <mergeCell ref="A35:F35"/>
    <mergeCell ref="A39:F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5" customWidth="1" style="74" min="1" max="1"/>
    <col width="16" customWidth="1" style="74" min="2" max="6"/>
  </cols>
  <sheetData>
    <row r="1" ht="17.25" customHeight="1" s="75">
      <c r="A1" s="76" t="inlineStr">
        <is>
          <t>SCARE CORE — Revenue Model (10-Year)</t>
        </is>
      </c>
    </row>
    <row r="2" ht="15" customHeight="1" s="75">
      <c r="A2" s="77" t="inlineStr">
        <is>
          <t>Premium pricing — Cowsland Farm, South Leverton</t>
        </is>
      </c>
    </row>
    <row r="3" ht="15" customHeight="1" s="75">
      <c r="B3" s="86" t="inlineStr">
        <is>
          <t>Year 1</t>
        </is>
      </c>
      <c r="C3" s="86" t="inlineStr">
        <is>
          <t>Year 2</t>
        </is>
      </c>
      <c r="D3" s="86" t="inlineStr">
        <is>
          <t>Year 3</t>
        </is>
      </c>
      <c r="E3" s="86" t="inlineStr">
        <is>
          <t>Year 4</t>
        </is>
      </c>
      <c r="F3" s="86" t="inlineStr">
        <is>
          <t>Year 5</t>
        </is>
      </c>
      <c r="G3" s="87" t="inlineStr">
        <is>
          <t>Year 6</t>
        </is>
      </c>
      <c r="H3" s="87" t="inlineStr">
        <is>
          <t>Year 7</t>
        </is>
      </c>
      <c r="I3" s="87" t="inlineStr">
        <is>
          <t>Year 8</t>
        </is>
      </c>
      <c r="J3" s="87" t="inlineStr">
        <is>
          <t>Year 9</t>
        </is>
      </c>
      <c r="K3" s="87" t="inlineStr">
        <is>
          <t>Year 10</t>
        </is>
      </c>
    </row>
    <row r="4" ht="15" customHeight="1" s="75">
      <c r="A4" s="78" t="inlineStr">
        <is>
          <t>SCARE SEASON CAPACITY</t>
        </is>
      </c>
      <c r="B4" s="79" t="n"/>
      <c r="C4" s="79" t="n"/>
      <c r="D4" s="79" t="n"/>
      <c r="E4" s="79" t="n"/>
      <c r="F4" s="79" t="n"/>
    </row>
    <row r="5" ht="15" customHeight="1" s="75">
      <c r="A5" s="80" t="inlineStr">
        <is>
          <t>Max nightly capacity</t>
        </is>
      </c>
      <c r="B5" s="96" t="n">
        <v>1000</v>
      </c>
      <c r="C5" s="96" t="n">
        <v>1100</v>
      </c>
      <c r="D5" s="96" t="n">
        <v>1200</v>
      </c>
      <c r="E5" s="96" t="n">
        <v>1300</v>
      </c>
      <c r="F5" s="96" t="n">
        <v>1400</v>
      </c>
      <c r="G5" s="103" t="n">
        <v>1500</v>
      </c>
      <c r="H5" s="103" t="n">
        <v>1500</v>
      </c>
      <c r="I5" s="103" t="n">
        <v>1500</v>
      </c>
      <c r="J5" s="103" t="n">
        <v>1500</v>
      </c>
      <c r="K5" s="103" t="n">
        <v>1500</v>
      </c>
    </row>
    <row r="6" ht="15" customHeight="1" s="75">
      <c r="A6" s="80" t="inlineStr">
        <is>
          <t>Off-peak nights (weekday)</t>
        </is>
      </c>
      <c r="B6" s="96" t="n">
        <v>6</v>
      </c>
      <c r="C6" s="96" t="n">
        <v>6</v>
      </c>
      <c r="D6" s="96" t="n">
        <v>8</v>
      </c>
      <c r="E6" s="96" t="n">
        <v>8</v>
      </c>
      <c r="F6" s="96" t="n">
        <v>10</v>
      </c>
      <c r="G6" s="97" t="n">
        <v>10</v>
      </c>
      <c r="H6" s="97" t="n">
        <v>10</v>
      </c>
      <c r="I6" s="97" t="n">
        <v>10</v>
      </c>
      <c r="J6" s="97" t="n">
        <v>10</v>
      </c>
      <c r="K6" s="97" t="n">
        <v>10</v>
      </c>
    </row>
    <row r="7" ht="15" customHeight="1" s="75">
      <c r="A7" s="80" t="inlineStr">
        <is>
          <t>Peak nights (weekend/half-term)</t>
        </is>
      </c>
      <c r="B7" s="96" t="n">
        <v>10</v>
      </c>
      <c r="C7" s="96" t="n">
        <v>12</v>
      </c>
      <c r="D7" s="96" t="n">
        <v>12</v>
      </c>
      <c r="E7" s="96" t="n">
        <v>12</v>
      </c>
      <c r="F7" s="96" t="n">
        <v>12</v>
      </c>
      <c r="G7" s="97" t="n">
        <v>12</v>
      </c>
      <c r="H7" s="97" t="n">
        <v>12</v>
      </c>
      <c r="I7" s="97" t="n">
        <v>12</v>
      </c>
      <c r="J7" s="97" t="n">
        <v>12</v>
      </c>
      <c r="K7" s="97" t="n">
        <v>12</v>
      </c>
    </row>
    <row r="8" ht="15" customHeight="1" s="75">
      <c r="A8" s="80" t="inlineStr">
        <is>
          <t>Super-peak nights (Halloween week)</t>
        </is>
      </c>
      <c r="B8" s="96" t="n">
        <v>8</v>
      </c>
      <c r="C8" s="96" t="n">
        <v>8</v>
      </c>
      <c r="D8" s="96" t="n">
        <v>8</v>
      </c>
      <c r="E8" s="96" t="n">
        <v>8</v>
      </c>
      <c r="F8" s="96" t="n">
        <v>8</v>
      </c>
      <c r="G8" s="97" t="n">
        <v>8</v>
      </c>
      <c r="H8" s="97" t="n">
        <v>8</v>
      </c>
      <c r="I8" s="97" t="n">
        <v>8</v>
      </c>
      <c r="J8" s="97" t="n">
        <v>8</v>
      </c>
      <c r="K8" s="97" t="n">
        <v>8</v>
      </c>
    </row>
    <row r="9" ht="15" customHeight="1" s="75">
      <c r="A9" s="83" t="inlineStr">
        <is>
          <t>Total operating nights</t>
        </is>
      </c>
      <c r="B9" s="164">
        <f>B6+B7+B8</f>
        <v/>
      </c>
      <c r="C9" s="164">
        <f>C6+C7+C8</f>
        <v/>
      </c>
      <c r="D9" s="164">
        <f>D6+D7+D8</f>
        <v/>
      </c>
      <c r="E9" s="164">
        <f>E6+E7+E8</f>
        <v/>
      </c>
      <c r="F9" s="164">
        <f>F6+F7+F8</f>
        <v/>
      </c>
      <c r="G9" s="99" t="n">
        <v>30</v>
      </c>
      <c r="H9" s="99" t="n">
        <v>30</v>
      </c>
      <c r="I9" s="99" t="n">
        <v>30</v>
      </c>
      <c r="J9" s="99" t="n">
        <v>30</v>
      </c>
      <c r="K9" s="99" t="n">
        <v>30</v>
      </c>
    </row>
    <row r="10" ht="15" customHeight="1" s="75">
      <c r="A10" s="80" t="inlineStr">
        <is>
          <t>Average utilisation</t>
        </is>
      </c>
      <c r="B10" s="165" t="n">
        <v>0.65</v>
      </c>
      <c r="C10" s="165" t="n">
        <v>0.72</v>
      </c>
      <c r="D10" s="165" t="n">
        <v>0.78</v>
      </c>
      <c r="E10" s="165" t="n">
        <v>0.82</v>
      </c>
      <c r="F10" s="165" t="n">
        <v>0.85</v>
      </c>
      <c r="G10" s="156" t="n">
        <v>0.87</v>
      </c>
      <c r="H10" s="156" t="n">
        <v>0.88</v>
      </c>
      <c r="I10" s="156" t="n">
        <v>0.89</v>
      </c>
      <c r="J10" s="156" t="n">
        <v>0.9</v>
      </c>
      <c r="K10" s="156" t="n">
        <v>0.9</v>
      </c>
    </row>
    <row r="12" ht="15" customHeight="1" s="75">
      <c r="A12" s="78" t="inlineStr">
        <is>
          <t>TICKET PRICING (Premium)</t>
        </is>
      </c>
      <c r="B12" s="79" t="n"/>
      <c r="C12" s="79" t="n"/>
      <c r="D12" s="79" t="n"/>
      <c r="E12" s="79" t="n"/>
      <c r="F12" s="79" t="n"/>
    </row>
    <row r="13" ht="15" customHeight="1" s="75">
      <c r="A13" s="80" t="inlineStr">
        <is>
          <t>Off-peak ticket price</t>
        </is>
      </c>
      <c r="B13" s="166" t="n">
        <v>25</v>
      </c>
      <c r="C13" s="166" t="n">
        <v>27</v>
      </c>
      <c r="D13" s="166" t="n">
        <v>29</v>
      </c>
      <c r="E13" s="166" t="n">
        <v>30</v>
      </c>
      <c r="F13" s="166" t="n">
        <v>32</v>
      </c>
      <c r="G13" s="186" t="n">
        <v>33</v>
      </c>
      <c r="H13" s="186" t="n">
        <v>34</v>
      </c>
      <c r="I13" s="186" t="n">
        <v>36</v>
      </c>
      <c r="J13" s="186" t="n">
        <v>37</v>
      </c>
      <c r="K13" s="186" t="n">
        <v>39</v>
      </c>
    </row>
    <row r="14" ht="15" customHeight="1" s="75">
      <c r="A14" s="80" t="inlineStr">
        <is>
          <t>Peak ticket price</t>
        </is>
      </c>
      <c r="B14" s="166" t="n">
        <v>35</v>
      </c>
      <c r="C14" s="166" t="n">
        <v>38</v>
      </c>
      <c r="D14" s="166" t="n">
        <v>40</v>
      </c>
      <c r="E14" s="166" t="n">
        <v>42</v>
      </c>
      <c r="F14" s="166" t="n">
        <v>44</v>
      </c>
      <c r="G14" s="186" t="n">
        <v>46</v>
      </c>
      <c r="H14" s="186" t="n">
        <v>48</v>
      </c>
      <c r="I14" s="186" t="n">
        <v>50</v>
      </c>
      <c r="J14" s="186" t="n">
        <v>52</v>
      </c>
      <c r="K14" s="186" t="n">
        <v>54</v>
      </c>
    </row>
    <row r="15" ht="15" customHeight="1" s="75">
      <c r="A15" s="80" t="inlineStr">
        <is>
          <t>Super-peak ticket price</t>
        </is>
      </c>
      <c r="B15" s="166" t="n">
        <v>45</v>
      </c>
      <c r="C15" s="166" t="n">
        <v>48</v>
      </c>
      <c r="D15" s="166" t="n">
        <v>50</v>
      </c>
      <c r="E15" s="166" t="n">
        <v>50</v>
      </c>
      <c r="F15" s="166" t="n">
        <v>52</v>
      </c>
      <c r="G15" s="186" t="n">
        <v>54</v>
      </c>
      <c r="H15" s="186" t="n">
        <v>56</v>
      </c>
      <c r="I15" s="186" t="n">
        <v>58</v>
      </c>
      <c r="J15" s="186" t="n">
        <v>60</v>
      </c>
      <c r="K15" s="186" t="n">
        <v>63</v>
      </c>
    </row>
    <row r="17" ht="15" customHeight="1" s="75">
      <c r="A17" s="78" t="inlineStr">
        <is>
          <t>SCARE REVENUE</t>
        </is>
      </c>
      <c r="B17" s="79" t="n"/>
      <c r="C17" s="79" t="n"/>
      <c r="D17" s="79" t="n"/>
      <c r="E17" s="79" t="n"/>
      <c r="F17" s="79" t="n"/>
    </row>
    <row r="18" ht="15" customHeight="1" s="75">
      <c r="A18" s="80" t="inlineStr">
        <is>
          <t>Off-peak guests</t>
        </is>
      </c>
      <c r="B18" s="167">
        <f>B5*B6*B10</f>
        <v/>
      </c>
      <c r="C18" s="167">
        <f>C5*C6*C10</f>
        <v/>
      </c>
      <c r="D18" s="167">
        <f>D5*D6*D10</f>
        <v/>
      </c>
      <c r="E18" s="167">
        <f>E5*E6*E10</f>
        <v/>
      </c>
      <c r="F18" s="167">
        <f>F5*F6*F10</f>
        <v/>
      </c>
      <c r="G18" s="104" t="n">
        <v>13050</v>
      </c>
      <c r="H18" s="104" t="n">
        <v>13200</v>
      </c>
      <c r="I18" s="104" t="n">
        <v>13350</v>
      </c>
      <c r="J18" s="104" t="n">
        <v>13500</v>
      </c>
      <c r="K18" s="104" t="n">
        <v>13500</v>
      </c>
    </row>
    <row r="19" ht="15" customHeight="1" s="75">
      <c r="A19" s="80" t="inlineStr">
        <is>
          <t>Peak guests</t>
        </is>
      </c>
      <c r="B19" s="167">
        <f>B5*B7*B10</f>
        <v/>
      </c>
      <c r="C19" s="167">
        <f>C5*C7*C10</f>
        <v/>
      </c>
      <c r="D19" s="167">
        <f>D5*D7*D10</f>
        <v/>
      </c>
      <c r="E19" s="167">
        <f>E5*E7*E10</f>
        <v/>
      </c>
      <c r="F19" s="167">
        <f>F5*F7*F10</f>
        <v/>
      </c>
      <c r="G19" s="104" t="n">
        <v>15660</v>
      </c>
      <c r="H19" s="104" t="n">
        <v>15840</v>
      </c>
      <c r="I19" s="104" t="n">
        <v>16020</v>
      </c>
      <c r="J19" s="104" t="n">
        <v>16200</v>
      </c>
      <c r="K19" s="104" t="n">
        <v>16200</v>
      </c>
    </row>
    <row r="20" ht="15" customHeight="1" s="75">
      <c r="A20" s="80" t="inlineStr">
        <is>
          <t>Super-peak guests</t>
        </is>
      </c>
      <c r="B20" s="167">
        <f>B5*B8*B10</f>
        <v/>
      </c>
      <c r="C20" s="167">
        <f>C5*C8*C10</f>
        <v/>
      </c>
      <c r="D20" s="167">
        <f>D5*D8*D10</f>
        <v/>
      </c>
      <c r="E20" s="167">
        <f>E5*E8*E10</f>
        <v/>
      </c>
      <c r="F20" s="167">
        <f>F5*F8*F10</f>
        <v/>
      </c>
      <c r="G20" s="104" t="n">
        <v>10440</v>
      </c>
      <c r="H20" s="104" t="n">
        <v>10560</v>
      </c>
      <c r="I20" s="104" t="n">
        <v>10680</v>
      </c>
      <c r="J20" s="104" t="n">
        <v>10800</v>
      </c>
      <c r="K20" s="104" t="n">
        <v>10800</v>
      </c>
    </row>
    <row r="21" ht="15" customHeight="1" s="75">
      <c r="A21" s="83" t="inlineStr">
        <is>
          <t>Total season guests</t>
        </is>
      </c>
      <c r="B21" s="164">
        <f>B18+B19+B20</f>
        <v/>
      </c>
      <c r="C21" s="164">
        <f>C18+C19+C20</f>
        <v/>
      </c>
      <c r="D21" s="164">
        <f>D18+D19+D20</f>
        <v/>
      </c>
      <c r="E21" s="164">
        <f>E18+E19+E20</f>
        <v/>
      </c>
      <c r="F21" s="164">
        <f>F18+F19+F20</f>
        <v/>
      </c>
      <c r="G21" s="107" t="n">
        <v>39150</v>
      </c>
      <c r="H21" s="107" t="n">
        <v>39600</v>
      </c>
      <c r="I21" s="107" t="n">
        <v>40050</v>
      </c>
      <c r="J21" s="107" t="n">
        <v>40500</v>
      </c>
      <c r="K21" s="107" t="n">
        <v>40500</v>
      </c>
    </row>
    <row r="23" ht="15" customHeight="1" s="75">
      <c r="A23" s="80" t="inlineStr">
        <is>
          <t>Ticket revenue</t>
        </is>
      </c>
      <c r="B23" s="168">
        <f>(B18*B13)+(B19*B14)+(B20*B15)</f>
        <v/>
      </c>
      <c r="C23" s="168">
        <f>(C18*C13)+(C19*C14)+(C20*C15)</f>
        <v/>
      </c>
      <c r="D23" s="168">
        <f>(D18*D13)+(D19*D14)+(D20*D15)</f>
        <v/>
      </c>
      <c r="E23" s="168">
        <f>(E18*E13)+(E19*E14)+(E20*E15)</f>
        <v/>
      </c>
      <c r="F23" s="168">
        <f>(F18*F13)+(F19*F14)+(F20*F15)</f>
        <v/>
      </c>
      <c r="G23" s="104" t="n">
        <v>1714770</v>
      </c>
      <c r="H23" s="104" t="n">
        <v>1800480</v>
      </c>
      <c r="I23" s="104" t="n">
        <v>1901040</v>
      </c>
      <c r="J23" s="104" t="n">
        <v>1989900</v>
      </c>
      <c r="K23" s="104" t="n">
        <v>2081700</v>
      </c>
    </row>
    <row r="24" ht="15" customHeight="1" s="75">
      <c r="A24" s="80" t="inlineStr">
        <is>
          <t>Merchandise (£4/guest, 35% attach)</t>
        </is>
      </c>
      <c r="B24" s="168">
        <f>B21*4*0.35</f>
        <v/>
      </c>
      <c r="C24" s="168">
        <f>C21*4*0.35</f>
        <v/>
      </c>
      <c r="D24" s="168">
        <f>D21*4*0.35</f>
        <v/>
      </c>
      <c r="E24" s="168">
        <f>E21*4*0.35</f>
        <v/>
      </c>
      <c r="F24" s="168">
        <f>F21*4*0.35</f>
        <v/>
      </c>
      <c r="G24" s="104" t="n">
        <v>54810</v>
      </c>
      <c r="H24" s="104" t="n">
        <v>55440</v>
      </c>
      <c r="I24" s="104" t="n">
        <v>56070</v>
      </c>
      <c r="J24" s="104" t="n">
        <v>56700</v>
      </c>
      <c r="K24" s="104" t="n">
        <v>56700</v>
      </c>
    </row>
    <row r="25" ht="15" customHeight="1" s="75">
      <c r="A25" s="80" t="inlineStr">
        <is>
          <t>Hospitality (£3/guest, 30% attach)</t>
        </is>
      </c>
      <c r="B25" s="168">
        <f>B21*3*0.3</f>
        <v/>
      </c>
      <c r="C25" s="168">
        <f>C21*3*0.3</f>
        <v/>
      </c>
      <c r="D25" s="168">
        <f>D21*3*0.3</f>
        <v/>
      </c>
      <c r="E25" s="168">
        <f>E21*3*0.3</f>
        <v/>
      </c>
      <c r="F25" s="168">
        <f>F21*3*0.3</f>
        <v/>
      </c>
      <c r="G25" s="104" t="n">
        <v>35235</v>
      </c>
      <c r="H25" s="104" t="n">
        <v>35640</v>
      </c>
      <c r="I25" s="104" t="n">
        <v>36045</v>
      </c>
      <c r="J25" s="104" t="n">
        <v>36450</v>
      </c>
      <c r="K25" s="104" t="n">
        <v>36450</v>
      </c>
    </row>
    <row r="26" ht="15" customHeight="1" s="75">
      <c r="A26" s="80" t="inlineStr">
        <is>
          <t>VIP / fast-track passes</t>
        </is>
      </c>
      <c r="B26" s="166" t="n">
        <v>50000</v>
      </c>
      <c r="C26" s="166" t="n">
        <v>70000</v>
      </c>
      <c r="D26" s="166" t="n">
        <v>85000</v>
      </c>
      <c r="E26" s="166" t="n">
        <v>100000</v>
      </c>
      <c r="F26" s="166" t="n">
        <v>120000</v>
      </c>
      <c r="G26" s="103" t="n">
        <v>132000</v>
      </c>
      <c r="H26" s="103" t="n">
        <v>145200</v>
      </c>
      <c r="I26" s="103" t="n">
        <v>159720</v>
      </c>
      <c r="J26" s="103" t="n">
        <v>175692</v>
      </c>
      <c r="K26" s="103" t="n">
        <v>193261</v>
      </c>
    </row>
    <row r="27" ht="15" customHeight="1" s="75">
      <c r="A27" s="83" t="inlineStr">
        <is>
          <t>Total scare revenue</t>
        </is>
      </c>
      <c r="B27" s="169">
        <f>SUM(B23:B26)</f>
        <v/>
      </c>
      <c r="C27" s="169">
        <f>SUM(C23:C26)</f>
        <v/>
      </c>
      <c r="D27" s="169">
        <f>SUM(D23:D26)</f>
        <v/>
      </c>
      <c r="E27" s="169">
        <f>SUM(E23:E26)</f>
        <v/>
      </c>
      <c r="F27" s="169">
        <f>SUM(F23:F26)</f>
        <v/>
      </c>
      <c r="G27" s="107" t="n">
        <v>1936815</v>
      </c>
      <c r="H27" s="107" t="n">
        <v>2036760</v>
      </c>
      <c r="I27" s="107" t="n">
        <v>2152875</v>
      </c>
      <c r="J27" s="107" t="n">
        <v>2258742</v>
      </c>
      <c r="K27" s="107" t="n">
        <v>2368111</v>
      </c>
    </row>
    <row r="29" ht="15" customHeight="1" s="75">
      <c r="A29" s="78" t="inlineStr">
        <is>
          <t>OFF-SEASON REVENUE (Jan-Sep)</t>
        </is>
      </c>
      <c r="B29" s="79" t="n"/>
      <c r="C29" s="79" t="n"/>
      <c r="D29" s="79" t="n"/>
      <c r="E29" s="79" t="n"/>
      <c r="F29" s="79" t="n"/>
    </row>
    <row r="30" ht="15" customHeight="1" s="75">
      <c r="A30" s="170" t="inlineStr">
        <is>
          <t xml:space="preserve">  Note: No off-season in Y1 (building site). Y2 partial (from Q2).</t>
        </is>
      </c>
    </row>
    <row r="31" ht="15" customHeight="1" s="75">
      <c r="A31" s="80" t="inlineStr">
        <is>
          <t>Theatre / immersive shows</t>
        </is>
      </c>
      <c r="B31" s="171">
        <f>'Off-Season Detail'!B11</f>
        <v/>
      </c>
      <c r="C31" s="171">
        <f>'Off-Season Detail'!C11</f>
        <v/>
      </c>
      <c r="D31" s="171">
        <f>'Off-Season Detail'!D11</f>
        <v/>
      </c>
      <c r="E31" s="171">
        <f>'Off-Season Detail'!E11</f>
        <v/>
      </c>
      <c r="F31" s="171">
        <f>'Off-Season Detail'!F11</f>
        <v/>
      </c>
      <c r="G31" s="88" t="n">
        <v>673920</v>
      </c>
      <c r="H31" s="88" t="n">
        <v>729600</v>
      </c>
      <c r="I31" s="88" t="n">
        <v>767520</v>
      </c>
      <c r="J31" s="88" t="n">
        <v>787200</v>
      </c>
      <c r="K31" s="88" t="n">
        <v>826560</v>
      </c>
    </row>
    <row r="32" ht="15" customHeight="1" s="75">
      <c r="A32" s="80" t="inlineStr">
        <is>
          <t>Escape rooms (maze barn retrofit)</t>
        </is>
      </c>
      <c r="B32" s="171">
        <f>'Off-Season Detail'!B20</f>
        <v/>
      </c>
      <c r="C32" s="171">
        <f>'Off-Season Detail'!C20</f>
        <v/>
      </c>
      <c r="D32" s="171">
        <f>'Off-Season Detail'!D20</f>
        <v/>
      </c>
      <c r="E32" s="171">
        <f>'Off-Season Detail'!E20</f>
        <v/>
      </c>
      <c r="F32" s="171">
        <f>'Off-Season Detail'!F20</f>
        <v/>
      </c>
      <c r="G32" s="88" t="n">
        <v>372879.36</v>
      </c>
      <c r="H32" s="88" t="n">
        <v>395135.9999999999</v>
      </c>
      <c r="I32" s="88" t="n">
        <v>418037.76</v>
      </c>
      <c r="J32" s="88" t="n">
        <v>447390.72</v>
      </c>
      <c r="K32" s="88" t="n">
        <v>471744</v>
      </c>
    </row>
    <row r="33" ht="15" customHeight="1" s="75">
      <c r="A33" s="80" t="inlineStr">
        <is>
          <t>Venue hire (corporate/private)</t>
        </is>
      </c>
      <c r="B33" s="171">
        <f>'Off-Season Detail'!B25</f>
        <v/>
      </c>
      <c r="C33" s="171">
        <f>'Off-Season Detail'!C25</f>
        <v/>
      </c>
      <c r="D33" s="171">
        <f>'Off-Season Detail'!D25</f>
        <v/>
      </c>
      <c r="E33" s="171">
        <f>'Off-Season Detail'!E25</f>
        <v/>
      </c>
      <c r="F33" s="171">
        <f>'Off-Season Detail'!F25</f>
        <v/>
      </c>
      <c r="G33" s="88" t="n">
        <v>299000</v>
      </c>
      <c r="H33" s="88" t="n">
        <v>336000</v>
      </c>
      <c r="I33" s="88" t="n">
        <v>350000</v>
      </c>
      <c r="J33" s="88" t="n">
        <v>390000</v>
      </c>
      <c r="K33" s="88" t="n">
        <v>405000</v>
      </c>
    </row>
    <row r="34" ht="15" customHeight="1" s="75">
      <c r="A34" s="80" t="inlineStr">
        <is>
          <t>Workshops &amp; educational</t>
        </is>
      </c>
      <c r="B34" s="166" t="n">
        <v>0</v>
      </c>
      <c r="C34" s="166" t="n">
        <v>0</v>
      </c>
      <c r="D34" s="166" t="n">
        <v>0</v>
      </c>
      <c r="E34" s="166" t="n">
        <v>0</v>
      </c>
      <c r="F34" s="166" t="n">
        <v>0</v>
      </c>
      <c r="G34" s="88" t="n">
        <v>0</v>
      </c>
      <c r="H34" s="88" t="n">
        <v>0</v>
      </c>
      <c r="I34" s="88" t="n">
        <v>0</v>
      </c>
      <c r="J34" s="88" t="n">
        <v>0</v>
      </c>
      <c r="K34" s="88" t="n">
        <v>0</v>
      </c>
    </row>
    <row r="35" ht="15" customHeight="1" s="75">
      <c r="A35" s="83" t="inlineStr">
        <is>
          <t>Total off-season revenue</t>
        </is>
      </c>
      <c r="B35" s="169">
        <f>SUM(B31:B34)</f>
        <v/>
      </c>
      <c r="C35" s="169">
        <f>SUM(C31:C34)</f>
        <v/>
      </c>
      <c r="D35" s="169">
        <f>SUM(D31:D34)</f>
        <v/>
      </c>
      <c r="E35" s="169">
        <f>SUM(E31:E34)</f>
        <v/>
      </c>
      <c r="F35" s="169">
        <f>SUM(F31:F34)</f>
        <v/>
      </c>
      <c r="G35" s="107" t="n">
        <v>1345799.36</v>
      </c>
      <c r="H35" s="107" t="n">
        <v>1460736</v>
      </c>
      <c r="I35" s="107" t="n">
        <v>1535557.76</v>
      </c>
      <c r="J35" s="107" t="n">
        <v>1624590.72</v>
      </c>
      <c r="K35" s="107" t="n">
        <v>1703304</v>
      </c>
    </row>
    <row r="37" ht="15" customHeight="1" s="75">
      <c r="A37" s="78" t="inlineStr">
        <is>
          <t>TOTAL REVENUE</t>
        </is>
      </c>
      <c r="B37" s="79" t="n"/>
      <c r="C37" s="79" t="n"/>
      <c r="D37" s="79" t="n"/>
      <c r="E37" s="79" t="n"/>
      <c r="F37" s="79" t="n"/>
    </row>
    <row r="38" ht="15" customHeight="1" s="75">
      <c r="A38" s="83" t="inlineStr">
        <is>
          <t>TOTAL ANNUAL REVENUE</t>
        </is>
      </c>
      <c r="B38" s="172">
        <f>B27+B35</f>
        <v/>
      </c>
      <c r="C38" s="172">
        <f>C27+C35</f>
        <v/>
      </c>
      <c r="D38" s="172">
        <f>D27+D35</f>
        <v/>
      </c>
      <c r="E38" s="172">
        <f>E27+E35</f>
        <v/>
      </c>
      <c r="F38" s="172">
        <f>F27+F35</f>
        <v/>
      </c>
      <c r="G38" s="173" t="n">
        <v>3282614.36</v>
      </c>
      <c r="H38" s="173" t="n">
        <v>3497496</v>
      </c>
      <c r="I38" s="173" t="n">
        <v>3688432.76</v>
      </c>
      <c r="J38" s="173" t="n">
        <v>3883332.72</v>
      </c>
      <c r="K38" s="173" t="n">
        <v>4071415</v>
      </c>
    </row>
    <row r="40">
      <c r="A40" s="102" t="inlineStr">
        <is>
          <t>CONSOLIDATED TICKET PRICING MATRIX</t>
        </is>
      </c>
    </row>
    <row r="41">
      <c r="A41" s="101" t="inlineStr">
        <is>
          <t>Single source of truth for all pricing assumptions</t>
        </is>
      </c>
    </row>
    <row r="42">
      <c r="B42" s="87" t="inlineStr">
        <is>
          <t>Year 1</t>
        </is>
      </c>
      <c r="C42" s="87" t="inlineStr">
        <is>
          <t>Year 2</t>
        </is>
      </c>
      <c r="D42" s="87" t="inlineStr">
        <is>
          <t>Year 3</t>
        </is>
      </c>
      <c r="E42" s="87" t="inlineStr">
        <is>
          <t>Year 4</t>
        </is>
      </c>
      <c r="F42" s="87" t="inlineStr">
        <is>
          <t>Year 5</t>
        </is>
      </c>
      <c r="G42" s="87" t="inlineStr">
        <is>
          <t>Year 6</t>
        </is>
      </c>
      <c r="H42" s="87" t="inlineStr">
        <is>
          <t>Year 7</t>
        </is>
      </c>
      <c r="I42" s="87" t="inlineStr">
        <is>
          <t>Year 8</t>
        </is>
      </c>
      <c r="J42" s="87" t="inlineStr">
        <is>
          <t>Year 9</t>
        </is>
      </c>
      <c r="K42" s="87" t="inlineStr">
        <is>
          <t>Year 10</t>
        </is>
      </c>
    </row>
    <row r="43">
      <c r="A43" s="99" t="inlineStr">
        <is>
          <t>Off-peak (weekday)</t>
        </is>
      </c>
      <c r="B43" s="186" t="n">
        <v>25</v>
      </c>
      <c r="C43" s="186" t="n">
        <v>27</v>
      </c>
      <c r="D43" s="186" t="n">
        <v>29</v>
      </c>
      <c r="E43" s="186" t="n">
        <v>30</v>
      </c>
      <c r="F43" s="186" t="n">
        <v>32</v>
      </c>
      <c r="G43" s="186" t="n">
        <v>33</v>
      </c>
      <c r="H43" s="186" t="n">
        <v>34</v>
      </c>
      <c r="I43" s="186" t="n">
        <v>36</v>
      </c>
      <c r="J43" s="186" t="n">
        <v>37</v>
      </c>
      <c r="K43" s="186" t="n">
        <v>39</v>
      </c>
    </row>
    <row r="44">
      <c r="A44" s="99" t="inlineStr">
        <is>
          <t>Peak (weekend/half-term)</t>
        </is>
      </c>
      <c r="B44" s="186" t="n">
        <v>35</v>
      </c>
      <c r="C44" s="186" t="n">
        <v>38</v>
      </c>
      <c r="D44" s="186" t="n">
        <v>40</v>
      </c>
      <c r="E44" s="186" t="n">
        <v>42</v>
      </c>
      <c r="F44" s="186" t="n">
        <v>44</v>
      </c>
      <c r="G44" s="186" t="n">
        <v>46</v>
      </c>
      <c r="H44" s="186" t="n">
        <v>48</v>
      </c>
      <c r="I44" s="186" t="n">
        <v>50</v>
      </c>
      <c r="J44" s="186" t="n">
        <v>52</v>
      </c>
      <c r="K44" s="186" t="n">
        <v>54</v>
      </c>
    </row>
    <row r="45">
      <c r="A45" s="99" t="inlineStr">
        <is>
          <t>Super-peak (Halloween week)</t>
        </is>
      </c>
      <c r="B45" s="186" t="n">
        <v>45</v>
      </c>
      <c r="C45" s="186" t="n">
        <v>48</v>
      </c>
      <c r="D45" s="186" t="n">
        <v>50</v>
      </c>
      <c r="E45" s="186" t="n">
        <v>50</v>
      </c>
      <c r="F45" s="186" t="n">
        <v>52</v>
      </c>
      <c r="G45" s="186" t="n">
        <v>54</v>
      </c>
      <c r="H45" s="186" t="n">
        <v>56</v>
      </c>
      <c r="I45" s="186" t="n">
        <v>58</v>
      </c>
      <c r="J45" s="186" t="n">
        <v>60</v>
      </c>
      <c r="K45" s="186" t="n">
        <v>63</v>
      </c>
    </row>
    <row r="46">
      <c r="A46" s="87" t="inlineStr">
        <is>
          <t>Blended average</t>
        </is>
      </c>
      <c r="B46" s="210" t="n">
        <v>0</v>
      </c>
      <c r="C46" s="210" t="n">
        <v>0</v>
      </c>
      <c r="D46" s="210" t="n">
        <v>0</v>
      </c>
      <c r="E46" s="210" t="n">
        <v>0</v>
      </c>
      <c r="F46" s="210" t="n">
        <v>0</v>
      </c>
      <c r="G46" s="210" t="n">
        <v>43.8</v>
      </c>
      <c r="H46" s="210" t="n">
        <v>45.47</v>
      </c>
      <c r="I46" s="210" t="n">
        <v>47.47</v>
      </c>
      <c r="J46" s="210" t="n">
        <v>49.13</v>
      </c>
      <c r="K46" s="210" t="n">
        <v>51.4</v>
      </c>
    </row>
    <row r="47">
      <c r="A47" s="105" t="inlineStr">
        <is>
          <t>Year-on-year price growth</t>
        </is>
      </c>
      <c r="C47" s="92" t="n">
        <v>0.08</v>
      </c>
      <c r="D47" s="92" t="n">
        <v>0.07407407407407407</v>
      </c>
      <c r="E47" s="92" t="n">
        <v>0.03448275862068965</v>
      </c>
      <c r="F47" s="92" t="n">
        <v>0.06666666666666667</v>
      </c>
      <c r="G47" s="92" t="n">
        <v>0.03125</v>
      </c>
      <c r="H47" s="92" t="n">
        <v>0.0303030303030303</v>
      </c>
      <c r="I47" s="92" t="n">
        <v>0.05882352941176471</v>
      </c>
      <c r="J47" s="92" t="n">
        <v>0.02777777777777778</v>
      </c>
      <c r="K47" s="92" t="n">
        <v>0.05405405405405406</v>
      </c>
    </row>
    <row r="48">
      <c r="A48" s="102" t="inlineStr">
        <is>
          <t>GUEST VOLUMES</t>
        </is>
      </c>
    </row>
    <row r="49">
      <c r="A49" s="99" t="inlineStr">
        <is>
          <t>Total scare season guests</t>
        </is>
      </c>
      <c r="B49" s="104" t="n"/>
      <c r="C49" s="104" t="n"/>
      <c r="D49" s="104" t="n"/>
      <c r="E49" s="104" t="n"/>
      <c r="F49" s="104" t="n"/>
      <c r="G49" s="104" t="n">
        <v>39150</v>
      </c>
      <c r="H49" s="104" t="n">
        <v>39600</v>
      </c>
      <c r="I49" s="104" t="n">
        <v>40050</v>
      </c>
      <c r="J49" s="104" t="n">
        <v>40500</v>
      </c>
      <c r="K49" s="104" t="n">
        <v>40500</v>
      </c>
    </row>
    <row r="50">
      <c r="A50" s="99" t="inlineStr">
        <is>
          <t>Off-season visitors (estimated)</t>
        </is>
      </c>
      <c r="B50" s="104" t="n">
        <v>0</v>
      </c>
      <c r="C50" s="104" t="n">
        <v>0</v>
      </c>
      <c r="D50" s="104" t="n">
        <v>0</v>
      </c>
      <c r="E50" s="104" t="n">
        <v>0</v>
      </c>
      <c r="F50" s="104" t="n">
        <v>0</v>
      </c>
      <c r="G50" s="104" t="n">
        <v>53831</v>
      </c>
      <c r="H50" s="104" t="n">
        <v>58429</v>
      </c>
      <c r="I50" s="104" t="n">
        <v>61422</v>
      </c>
      <c r="J50" s="104" t="n">
        <v>64983</v>
      </c>
      <c r="K50" s="104" t="n">
        <v>68132</v>
      </c>
    </row>
    <row r="51">
      <c r="A51" s="87" t="inlineStr">
        <is>
          <t>Total annual visitors</t>
        </is>
      </c>
      <c r="B51" s="107" t="n">
        <v>0</v>
      </c>
      <c r="C51" s="107" t="n">
        <v>0</v>
      </c>
      <c r="D51" s="107" t="n">
        <v>0</v>
      </c>
      <c r="E51" s="107" t="n">
        <v>0</v>
      </c>
      <c r="F51" s="107" t="n">
        <v>0</v>
      </c>
      <c r="G51" s="107" t="n">
        <v>92981</v>
      </c>
      <c r="H51" s="107" t="n">
        <v>98029</v>
      </c>
      <c r="I51" s="107" t="n">
        <v>101472</v>
      </c>
      <c r="J51" s="107" t="n">
        <v>105483</v>
      </c>
      <c r="K51" s="107" t="n">
        <v>108632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8" customWidth="1" style="74" min="1" max="1"/>
    <col width="16" customWidth="1" style="74" min="2" max="6"/>
  </cols>
  <sheetData>
    <row r="1" ht="17.25" customHeight="1" s="75">
      <c r="A1" s="76" t="inlineStr">
        <is>
          <t>SCARE CORE — Annual Profit &amp; Loss (10-Year)</t>
        </is>
      </c>
    </row>
    <row r="2" ht="15" customHeight="1" s="75">
      <c r="A2" s="77" t="inlineStr">
        <is>
          <t>Operating costs and profitability projection</t>
        </is>
      </c>
    </row>
    <row r="3" ht="15" customHeight="1" s="75">
      <c r="B3" s="86" t="inlineStr">
        <is>
          <t>Year 1</t>
        </is>
      </c>
      <c r="C3" s="86" t="inlineStr">
        <is>
          <t>Year 2</t>
        </is>
      </c>
      <c r="D3" s="86" t="inlineStr">
        <is>
          <t>Year 3</t>
        </is>
      </c>
      <c r="E3" s="86" t="inlineStr">
        <is>
          <t>Year 4</t>
        </is>
      </c>
      <c r="F3" s="86" t="inlineStr">
        <is>
          <t>Year 5</t>
        </is>
      </c>
      <c r="G3" s="87" t="inlineStr">
        <is>
          <t>Year 6</t>
        </is>
      </c>
      <c r="H3" s="87" t="inlineStr">
        <is>
          <t>Year 7</t>
        </is>
      </c>
      <c r="I3" s="87" t="inlineStr">
        <is>
          <t>Year 8</t>
        </is>
      </c>
      <c r="J3" s="87" t="inlineStr">
        <is>
          <t>Year 9</t>
        </is>
      </c>
      <c r="K3" s="87" t="inlineStr">
        <is>
          <t>Year 10</t>
        </is>
      </c>
    </row>
    <row r="4" ht="15" customHeight="1" s="75">
      <c r="A4" s="83" t="inlineStr">
        <is>
          <t>TOTAL REVENUE</t>
        </is>
      </c>
      <c r="B4" s="174">
        <f>'Revenue Model'!B38</f>
        <v/>
      </c>
      <c r="C4" s="174">
        <f>'Revenue Model'!C38</f>
        <v/>
      </c>
      <c r="D4" s="174">
        <f>'Revenue Model'!D38</f>
        <v/>
      </c>
      <c r="E4" s="174">
        <f>'Revenue Model'!E38</f>
        <v/>
      </c>
      <c r="F4" s="174">
        <f>'Revenue Model'!F38</f>
        <v/>
      </c>
      <c r="G4" s="88" t="n">
        <v>3282614.36</v>
      </c>
      <c r="H4" s="88" t="n">
        <v>3497496</v>
      </c>
      <c r="I4" s="88" t="n">
        <v>3688432.76</v>
      </c>
      <c r="J4" s="88" t="n">
        <v>3883332.72</v>
      </c>
      <c r="K4" s="88" t="n">
        <v>4071415</v>
      </c>
    </row>
    <row r="6" ht="15" customHeight="1" s="75">
      <c r="A6" s="78" t="inlineStr">
        <is>
          <t>PEOPLE COSTS</t>
        </is>
      </c>
      <c r="B6" s="79" t="n"/>
      <c r="C6" s="79" t="n"/>
      <c r="D6" s="79" t="n"/>
      <c r="E6" s="79" t="n"/>
      <c r="F6" s="79" t="n"/>
    </row>
    <row r="7" ht="15" customHeight="1" s="75">
      <c r="A7" s="80" t="inlineStr">
        <is>
          <t>Year-round permanent team (see staffing plan)</t>
        </is>
      </c>
      <c r="B7" s="166" t="n">
        <v>276000</v>
      </c>
      <c r="C7" s="166" t="n">
        <v>430000</v>
      </c>
      <c r="D7" s="166" t="n">
        <v>505000</v>
      </c>
      <c r="E7" s="166" t="n">
        <v>560000</v>
      </c>
      <c r="F7" s="166" t="n">
        <v>610000</v>
      </c>
      <c r="G7" s="103" t="n">
        <v>640000</v>
      </c>
      <c r="H7" s="103" t="n">
        <v>660000</v>
      </c>
      <c r="I7" s="103" t="n">
        <v>680000</v>
      </c>
      <c r="J7" s="103" t="n">
        <v>700000</v>
      </c>
      <c r="K7" s="103" t="n">
        <v>720000</v>
      </c>
    </row>
    <row r="8" ht="15" customHeight="1" s="75">
      <c r="A8" s="80" t="inlineStr">
        <is>
          <t>Payroll bureau / outsourced HR</t>
        </is>
      </c>
      <c r="B8" s="166" t="n">
        <v>8000</v>
      </c>
      <c r="C8" s="166" t="n">
        <v>10000</v>
      </c>
      <c r="D8" s="166" t="n">
        <v>0</v>
      </c>
      <c r="E8" s="166" t="n">
        <v>0</v>
      </c>
      <c r="F8" s="166" t="n">
        <v>0</v>
      </c>
      <c r="G8" s="103" t="n">
        <v>0</v>
      </c>
      <c r="H8" s="103" t="n">
        <v>0</v>
      </c>
      <c r="I8" s="103" t="n">
        <v>0</v>
      </c>
      <c r="J8" s="103" t="n">
        <v>0</v>
      </c>
      <c r="K8" s="103" t="n">
        <v>0</v>
      </c>
    </row>
    <row r="9" ht="15" customHeight="1" s="75">
      <c r="A9" s="170" t="inlineStr">
        <is>
          <t xml:space="preserve">  Note: HR coordinator hired in-house from Y3</t>
        </is>
      </c>
    </row>
    <row r="10" ht="15" customHeight="1" s="75">
      <c r="A10" s="80" t="inlineStr">
        <is>
          <t>Seasonal performers (scare actors, Oct-Dec)</t>
        </is>
      </c>
      <c r="B10" s="166" t="n">
        <v>220000</v>
      </c>
      <c r="C10" s="166" t="n">
        <v>240000</v>
      </c>
      <c r="D10" s="166" t="n">
        <v>260000</v>
      </c>
      <c r="E10" s="166" t="n">
        <v>280000</v>
      </c>
      <c r="F10" s="166" t="n">
        <v>300000</v>
      </c>
      <c r="G10" s="103" t="n">
        <v>310000</v>
      </c>
      <c r="H10" s="103" t="n">
        <v>320000</v>
      </c>
      <c r="I10" s="103" t="n">
        <v>325000</v>
      </c>
      <c r="J10" s="103" t="n">
        <v>330000</v>
      </c>
      <c r="K10" s="103" t="n">
        <v>335000</v>
      </c>
    </row>
    <row r="11" ht="15" customHeight="1" s="75">
      <c r="A11" s="80" t="inlineStr">
        <is>
          <t>Seasonal support staff (bar, merch, parking)</t>
        </is>
      </c>
      <c r="B11" s="166" t="n">
        <v>80000</v>
      </c>
      <c r="C11" s="166" t="n">
        <v>90000</v>
      </c>
      <c r="D11" s="166" t="n">
        <v>100000</v>
      </c>
      <c r="E11" s="166" t="n">
        <v>110000</v>
      </c>
      <c r="F11" s="166" t="n">
        <v>120000</v>
      </c>
      <c r="G11" s="103" t="n">
        <v>125000</v>
      </c>
      <c r="H11" s="103" t="n">
        <v>130000</v>
      </c>
      <c r="I11" s="103" t="n">
        <v>132000</v>
      </c>
      <c r="J11" s="103" t="n">
        <v>135000</v>
      </c>
      <c r="K11" s="103" t="n">
        <v>138000</v>
      </c>
    </row>
    <row r="12" ht="15" customHeight="1" s="75">
      <c r="A12" s="80" t="inlineStr">
        <is>
          <t>Staff training &amp; development</t>
        </is>
      </c>
      <c r="B12" s="166" t="n">
        <v>25000</v>
      </c>
      <c r="C12" s="166" t="n">
        <v>30000</v>
      </c>
      <c r="D12" s="166" t="n">
        <v>35000</v>
      </c>
      <c r="E12" s="166" t="n">
        <v>40000</v>
      </c>
      <c r="F12" s="166" t="n">
        <v>45000</v>
      </c>
      <c r="G12" s="103" t="n">
        <v>48000</v>
      </c>
      <c r="H12" s="103" t="n">
        <v>50000</v>
      </c>
      <c r="I12" s="103" t="n">
        <v>50000</v>
      </c>
      <c r="J12" s="103" t="n">
        <v>52000</v>
      </c>
      <c r="K12" s="103" t="n">
        <v>52000</v>
      </c>
    </row>
    <row r="13" ht="15" customHeight="1" s="75">
      <c r="A13" s="83" t="inlineStr">
        <is>
          <t>Subtotal people costs</t>
        </is>
      </c>
      <c r="B13" s="175">
        <f>SUM(B7:B8,B10:B12)</f>
        <v/>
      </c>
      <c r="C13" s="175">
        <f>SUM(C7:C8,C10:C12)</f>
        <v/>
      </c>
      <c r="D13" s="175">
        <f>SUM(D7:D8,D10:D12)</f>
        <v/>
      </c>
      <c r="E13" s="175">
        <f>SUM(E7:E8,E10:E12)</f>
        <v/>
      </c>
      <c r="F13" s="175">
        <f>SUM(F7:F8,F10:F12)</f>
        <v/>
      </c>
      <c r="G13" s="107" t="n">
        <v>1123000</v>
      </c>
      <c r="H13" s="107" t="n">
        <v>1160000</v>
      </c>
      <c r="I13" s="107" t="n">
        <v>1187000</v>
      </c>
      <c r="J13" s="107" t="n">
        <v>1217000</v>
      </c>
      <c r="K13" s="107" t="n">
        <v>1245000</v>
      </c>
    </row>
    <row r="15" ht="15" customHeight="1" s="75">
      <c r="A15" s="78" t="inlineStr">
        <is>
          <t>SITE &amp; FACILITIES</t>
        </is>
      </c>
      <c r="B15" s="79" t="n"/>
      <c r="C15" s="79" t="n"/>
      <c r="D15" s="79" t="n"/>
      <c r="E15" s="79" t="n"/>
      <c r="F15" s="79" t="n"/>
    </row>
    <row r="16" ht="15" customHeight="1" s="75">
      <c r="A16" s="80" t="inlineStr">
        <is>
          <t>Utilities (electric, gas, water)</t>
        </is>
      </c>
      <c r="B16" s="166" t="n">
        <v>85000</v>
      </c>
      <c r="C16" s="166" t="n">
        <v>88000</v>
      </c>
      <c r="D16" s="166" t="n">
        <v>92000</v>
      </c>
      <c r="E16" s="166" t="n">
        <v>96000</v>
      </c>
      <c r="F16" s="166" t="n">
        <v>100000</v>
      </c>
      <c r="G16" s="103" t="n">
        <v>103000</v>
      </c>
      <c r="H16" s="103" t="n">
        <v>106000</v>
      </c>
      <c r="I16" s="103" t="n">
        <v>109000</v>
      </c>
      <c r="J16" s="103" t="n">
        <v>112000</v>
      </c>
      <c r="K16" s="103" t="n">
        <v>116000</v>
      </c>
    </row>
    <row r="17" ht="15" customHeight="1" s="75">
      <c r="A17" s="80" t="inlineStr">
        <is>
          <t>Business rates</t>
        </is>
      </c>
      <c r="B17" s="166" t="n">
        <v>45000</v>
      </c>
      <c r="C17" s="166" t="n">
        <v>47000</v>
      </c>
      <c r="D17" s="166" t="n">
        <v>49000</v>
      </c>
      <c r="E17" s="166" t="n">
        <v>51000</v>
      </c>
      <c r="F17" s="166" t="n">
        <v>53000</v>
      </c>
      <c r="G17" s="103" t="n">
        <v>55000</v>
      </c>
      <c r="H17" s="103" t="n">
        <v>57000</v>
      </c>
      <c r="I17" s="103" t="n">
        <v>59000</v>
      </c>
      <c r="J17" s="103" t="n">
        <v>61000</v>
      </c>
      <c r="K17" s="103" t="n">
        <v>63000</v>
      </c>
    </row>
    <row r="18" ht="15" customHeight="1" s="75">
      <c r="A18" s="80" t="inlineStr">
        <is>
          <t>Site maintenance &amp; repairs</t>
        </is>
      </c>
      <c r="B18" s="166" t="n">
        <v>55000</v>
      </c>
      <c r="C18" s="166" t="n">
        <v>58000</v>
      </c>
      <c r="D18" s="166" t="n">
        <v>62000</v>
      </c>
      <c r="E18" s="166" t="n">
        <v>66000</v>
      </c>
      <c r="F18" s="166" t="n">
        <v>70000</v>
      </c>
      <c r="G18" s="103" t="n">
        <v>73000</v>
      </c>
      <c r="H18" s="103" t="n">
        <v>76000</v>
      </c>
      <c r="I18" s="103" t="n">
        <v>79000</v>
      </c>
      <c r="J18" s="103" t="n">
        <v>82000</v>
      </c>
      <c r="K18" s="103" t="n">
        <v>85000</v>
      </c>
    </row>
    <row r="19" ht="15" customHeight="1" s="75">
      <c r="A19" s="80" t="inlineStr">
        <is>
          <t>Waste management</t>
        </is>
      </c>
      <c r="B19" s="166" t="n">
        <v>15000</v>
      </c>
      <c r="C19" s="166" t="n">
        <v>16000</v>
      </c>
      <c r="D19" s="166" t="n">
        <v>17000</v>
      </c>
      <c r="E19" s="166" t="n">
        <v>18000</v>
      </c>
      <c r="F19" s="166" t="n">
        <v>19000</v>
      </c>
      <c r="G19" s="103" t="n">
        <v>20000</v>
      </c>
      <c r="H19" s="103" t="n">
        <v>21000</v>
      </c>
      <c r="I19" s="103" t="n">
        <v>21000</v>
      </c>
      <c r="J19" s="103" t="n">
        <v>22000</v>
      </c>
      <c r="K19" s="103" t="n">
        <v>22000</v>
      </c>
    </row>
    <row r="20" ht="15" customHeight="1" s="75">
      <c r="A20" s="80" t="inlineStr">
        <is>
          <t>Pedestrian bridge (seasonal hire)</t>
        </is>
      </c>
      <c r="B20" s="166" t="n">
        <v>25000</v>
      </c>
      <c r="C20" s="166" t="n">
        <v>27000</v>
      </c>
      <c r="D20" s="166" t="n">
        <v>28000</v>
      </c>
      <c r="E20" s="166" t="n">
        <v>29000</v>
      </c>
      <c r="F20" s="166" t="n">
        <v>30000</v>
      </c>
      <c r="G20" s="103" t="n">
        <v>31000</v>
      </c>
      <c r="H20" s="103" t="n">
        <v>32000</v>
      </c>
      <c r="I20" s="103" t="n">
        <v>33000</v>
      </c>
      <c r="J20" s="103" t="n">
        <v>34000</v>
      </c>
      <c r="K20" s="103" t="n">
        <v>35000</v>
      </c>
    </row>
    <row r="21" ht="15" customHeight="1" s="75">
      <c r="A21" s="80" t="inlineStr">
        <is>
          <t>DDA crossing &amp; traffic signals (seasonal)</t>
        </is>
      </c>
      <c r="B21" s="166" t="n">
        <v>18000</v>
      </c>
      <c r="C21" s="166" t="n">
        <v>19000</v>
      </c>
      <c r="D21" s="166" t="n">
        <v>20000</v>
      </c>
      <c r="E21" s="166" t="n">
        <v>20000</v>
      </c>
      <c r="F21" s="166" t="n">
        <v>21000</v>
      </c>
      <c r="G21" s="103" t="n">
        <v>22000</v>
      </c>
      <c r="H21" s="103" t="n">
        <v>22000</v>
      </c>
      <c r="I21" s="103" t="n">
        <v>23000</v>
      </c>
      <c r="J21" s="103" t="n">
        <v>23000</v>
      </c>
      <c r="K21" s="103" t="n">
        <v>24000</v>
      </c>
    </row>
    <row r="22" ht="15" customHeight="1" s="75">
      <c r="A22" s="80" t="inlineStr">
        <is>
          <t>Grounds maintenance (301 acres)</t>
        </is>
      </c>
      <c r="B22" s="166" t="n">
        <v>30000</v>
      </c>
      <c r="C22" s="166" t="n">
        <v>32000</v>
      </c>
      <c r="D22" s="166" t="n">
        <v>34000</v>
      </c>
      <c r="E22" s="166" t="n">
        <v>36000</v>
      </c>
      <c r="F22" s="166" t="n">
        <v>38000</v>
      </c>
      <c r="G22" s="103" t="n">
        <v>40000</v>
      </c>
      <c r="H22" s="103" t="n">
        <v>41000</v>
      </c>
      <c r="I22" s="103" t="n">
        <v>42000</v>
      </c>
      <c r="J22" s="103" t="n">
        <v>43000</v>
      </c>
      <c r="K22" s="103" t="n">
        <v>44000</v>
      </c>
    </row>
    <row r="23" ht="15" customHeight="1" s="75">
      <c r="A23" s="83" t="inlineStr">
        <is>
          <t>Subtotal site &amp; facilities</t>
        </is>
      </c>
      <c r="B23" s="175">
        <f>SUM(B16:B22)</f>
        <v/>
      </c>
      <c r="C23" s="175">
        <f>SUM(C16:C22)</f>
        <v/>
      </c>
      <c r="D23" s="175">
        <f>SUM(D16:D22)</f>
        <v/>
      </c>
      <c r="E23" s="175">
        <f>SUM(E16:E22)</f>
        <v/>
      </c>
      <c r="F23" s="175">
        <f>SUM(F16:F22)</f>
        <v/>
      </c>
      <c r="G23" s="107" t="n">
        <v>344000</v>
      </c>
      <c r="H23" s="107" t="n">
        <v>355000</v>
      </c>
      <c r="I23" s="107" t="n">
        <v>366000</v>
      </c>
      <c r="J23" s="107" t="n">
        <v>377000</v>
      </c>
      <c r="K23" s="107" t="n">
        <v>389000</v>
      </c>
    </row>
    <row r="25" ht="15" customHeight="1" s="75">
      <c r="A25" s="78" t="inlineStr">
        <is>
          <t>INSURANCE</t>
        </is>
      </c>
      <c r="B25" s="79" t="n"/>
      <c r="C25" s="79" t="n"/>
      <c r="D25" s="79" t="n"/>
      <c r="E25" s="79" t="n"/>
      <c r="F25" s="79" t="n"/>
    </row>
    <row r="26" ht="15" customHeight="1" s="75">
      <c r="A26" s="80" t="inlineStr">
        <is>
          <t>Public liability (£10m+)</t>
        </is>
      </c>
      <c r="B26" s="166" t="n">
        <v>45000</v>
      </c>
      <c r="C26" s="166" t="n">
        <v>48000</v>
      </c>
      <c r="D26" s="166" t="n">
        <v>51000</v>
      </c>
      <c r="E26" s="166" t="n">
        <v>54000</v>
      </c>
      <c r="F26" s="166" t="n">
        <v>57000</v>
      </c>
      <c r="G26" s="103" t="n">
        <v>59000</v>
      </c>
      <c r="H26" s="103" t="n">
        <v>61000</v>
      </c>
      <c r="I26" s="103" t="n">
        <v>63000</v>
      </c>
      <c r="J26" s="103" t="n">
        <v>65000</v>
      </c>
      <c r="K26" s="103" t="n">
        <v>67000</v>
      </c>
    </row>
    <row r="27" ht="15" customHeight="1" s="75">
      <c r="A27" s="80" t="inlineStr">
        <is>
          <t>Employers liability</t>
        </is>
      </c>
      <c r="B27" s="166" t="n">
        <v>8000</v>
      </c>
      <c r="C27" s="166" t="n">
        <v>9000</v>
      </c>
      <c r="D27" s="166" t="n">
        <v>10000</v>
      </c>
      <c r="E27" s="166" t="n">
        <v>11000</v>
      </c>
      <c r="F27" s="166" t="n">
        <v>12000</v>
      </c>
      <c r="G27" s="103" t="n">
        <v>13000</v>
      </c>
      <c r="H27" s="103" t="n">
        <v>13000</v>
      </c>
      <c r="I27" s="103" t="n">
        <v>14000</v>
      </c>
      <c r="J27" s="103" t="n">
        <v>14000</v>
      </c>
      <c r="K27" s="103" t="n">
        <v>15000</v>
      </c>
    </row>
    <row r="28" ht="15" customHeight="1" s="75">
      <c r="A28" s="80" t="inlineStr">
        <is>
          <t>Property &amp; contents</t>
        </is>
      </c>
      <c r="B28" s="166" t="n">
        <v>25000</v>
      </c>
      <c r="C28" s="166" t="n">
        <v>27000</v>
      </c>
      <c r="D28" s="166" t="n">
        <v>29000</v>
      </c>
      <c r="E28" s="166" t="n">
        <v>31000</v>
      </c>
      <c r="F28" s="166" t="n">
        <v>33000</v>
      </c>
      <c r="G28" s="103" t="n">
        <v>35000</v>
      </c>
      <c r="H28" s="103" t="n">
        <v>37000</v>
      </c>
      <c r="I28" s="103" t="n">
        <v>39000</v>
      </c>
      <c r="J28" s="103" t="n">
        <v>41000</v>
      </c>
      <c r="K28" s="103" t="n">
        <v>43000</v>
      </c>
    </row>
    <row r="29" ht="15" customHeight="1" s="75">
      <c r="A29" s="80" t="inlineStr">
        <is>
          <t>Professional indemnity</t>
        </is>
      </c>
      <c r="B29" s="166" t="n">
        <v>8000</v>
      </c>
      <c r="C29" s="166" t="n">
        <v>8500</v>
      </c>
      <c r="D29" s="166" t="n">
        <v>9000</v>
      </c>
      <c r="E29" s="166" t="n">
        <v>9500</v>
      </c>
      <c r="F29" s="166" t="n">
        <v>10000</v>
      </c>
      <c r="G29" s="103" t="n">
        <v>10500</v>
      </c>
      <c r="H29" s="103" t="n">
        <v>11000</v>
      </c>
      <c r="I29" s="103" t="n">
        <v>11500</v>
      </c>
      <c r="J29" s="103" t="n">
        <v>12000</v>
      </c>
      <c r="K29" s="103" t="n">
        <v>12000</v>
      </c>
    </row>
    <row r="30" ht="15" customHeight="1" s="75">
      <c r="A30" s="80" t="inlineStr">
        <is>
          <t>Cyber &amp; data protection</t>
        </is>
      </c>
      <c r="B30" s="166" t="n">
        <v>5000</v>
      </c>
      <c r="C30" s="166" t="n">
        <v>5500</v>
      </c>
      <c r="D30" s="166" t="n">
        <v>6000</v>
      </c>
      <c r="E30" s="166" t="n">
        <v>6500</v>
      </c>
      <c r="F30" s="166" t="n">
        <v>7000</v>
      </c>
      <c r="G30" s="103" t="n">
        <v>7500</v>
      </c>
      <c r="H30" s="103" t="n">
        <v>8000</v>
      </c>
      <c r="I30" s="103" t="n">
        <v>8500</v>
      </c>
      <c r="J30" s="103" t="n">
        <v>9000</v>
      </c>
      <c r="K30" s="103" t="n">
        <v>9000</v>
      </c>
    </row>
    <row r="31" ht="15" customHeight="1" s="75">
      <c r="A31" s="83" t="inlineStr">
        <is>
          <t>Subtotal insurance</t>
        </is>
      </c>
      <c r="B31" s="175">
        <f>SUM(B26:B30)</f>
        <v/>
      </c>
      <c r="C31" s="175">
        <f>SUM(C26:C30)</f>
        <v/>
      </c>
      <c r="D31" s="175">
        <f>SUM(D26:D30)</f>
        <v/>
      </c>
      <c r="E31" s="175">
        <f>SUM(E26:E30)</f>
        <v/>
      </c>
      <c r="F31" s="175">
        <f>SUM(F26:F30)</f>
        <v/>
      </c>
      <c r="G31" s="107" t="n">
        <v>125000</v>
      </c>
      <c r="H31" s="107" t="n">
        <v>130000</v>
      </c>
      <c r="I31" s="107" t="n">
        <v>136000</v>
      </c>
      <c r="J31" s="107" t="n">
        <v>141000</v>
      </c>
      <c r="K31" s="107" t="n">
        <v>146000</v>
      </c>
    </row>
    <row r="33" ht="15" customHeight="1" s="75">
      <c r="A33" s="78" t="inlineStr">
        <is>
          <t>MARKETING &amp; SALES</t>
        </is>
      </c>
      <c r="B33" s="79" t="n"/>
      <c r="C33" s="79" t="n"/>
      <c r="D33" s="79" t="n"/>
      <c r="E33" s="79" t="n"/>
      <c r="F33" s="79" t="n"/>
    </row>
    <row r="34" ht="15" customHeight="1" s="75">
      <c r="A34" s="80" t="inlineStr">
        <is>
          <t>Digital marketing (social, PPC, influencer)</t>
        </is>
      </c>
      <c r="B34" s="166" t="n">
        <v>100000</v>
      </c>
      <c r="C34" s="166" t="n">
        <v>120000</v>
      </c>
      <c r="D34" s="166" t="n">
        <v>135000</v>
      </c>
      <c r="E34" s="166" t="n">
        <v>145000</v>
      </c>
      <c r="F34" s="166" t="n">
        <v>155000</v>
      </c>
      <c r="G34" s="103" t="n">
        <v>160000</v>
      </c>
      <c r="H34" s="103" t="n">
        <v>165000</v>
      </c>
      <c r="I34" s="103" t="n">
        <v>168000</v>
      </c>
      <c r="J34" s="103" t="n">
        <v>170000</v>
      </c>
      <c r="K34" s="103" t="n">
        <v>172000</v>
      </c>
    </row>
    <row r="35" ht="15" customHeight="1" s="75">
      <c r="A35" s="80" t="inlineStr">
        <is>
          <t>PR &amp; earned media</t>
        </is>
      </c>
      <c r="B35" s="166" t="n">
        <v>25000</v>
      </c>
      <c r="C35" s="166" t="n">
        <v>20000</v>
      </c>
      <c r="D35" s="166" t="n">
        <v>18000</v>
      </c>
      <c r="E35" s="166" t="n">
        <v>15000</v>
      </c>
      <c r="F35" s="166" t="n">
        <v>12000</v>
      </c>
      <c r="G35" s="103" t="n">
        <v>10000</v>
      </c>
      <c r="H35" s="103" t="n">
        <v>10000</v>
      </c>
      <c r="I35" s="103" t="n">
        <v>10000</v>
      </c>
      <c r="J35" s="103" t="n">
        <v>10000</v>
      </c>
      <c r="K35" s="103" t="n">
        <v>10000</v>
      </c>
    </row>
    <row r="36" ht="15" customHeight="1" s="75">
      <c r="A36" s="80" t="inlineStr">
        <is>
          <t>Print &amp; outdoor advertising</t>
        </is>
      </c>
      <c r="B36" s="166" t="n">
        <v>10000</v>
      </c>
      <c r="C36" s="166" t="n">
        <v>8000</v>
      </c>
      <c r="D36" s="166" t="n">
        <v>7000</v>
      </c>
      <c r="E36" s="166" t="n">
        <v>6000</v>
      </c>
      <c r="F36" s="166" t="n">
        <v>5000</v>
      </c>
      <c r="G36" s="103" t="n">
        <v>5000</v>
      </c>
      <c r="H36" s="103" t="n">
        <v>5000</v>
      </c>
      <c r="I36" s="103" t="n">
        <v>5000</v>
      </c>
      <c r="J36" s="103" t="n">
        <v>5000</v>
      </c>
      <c r="K36" s="103" t="n">
        <v>5000</v>
      </c>
    </row>
    <row r="37" ht="15" customHeight="1" s="75">
      <c r="A37" s="80" t="inlineStr">
        <is>
          <t>Ticketing platform fees (3.5%)</t>
        </is>
      </c>
      <c r="B37" s="168">
        <f>B4*0.035</f>
        <v/>
      </c>
      <c r="C37" s="168">
        <f>C4*0.035</f>
        <v/>
      </c>
      <c r="D37" s="168">
        <f>D4*0.035</f>
        <v/>
      </c>
      <c r="E37" s="168">
        <f>E4*0.035</f>
        <v/>
      </c>
      <c r="F37" s="168">
        <f>F4*0.035</f>
        <v/>
      </c>
      <c r="G37" s="104" t="n">
        <v>114891.5</v>
      </c>
      <c r="H37" s="104" t="n">
        <v>122412.36</v>
      </c>
      <c r="I37" s="104" t="n">
        <v>129095.15</v>
      </c>
      <c r="J37" s="104" t="n">
        <v>135916.65</v>
      </c>
      <c r="K37" s="104" t="n">
        <v>142499.53</v>
      </c>
    </row>
    <row r="38" ht="15" customHeight="1" s="75">
      <c r="A38" s="83" t="inlineStr">
        <is>
          <t>Subtotal marketing &amp; sales</t>
        </is>
      </c>
      <c r="B38" s="175">
        <f>SUM(B34:B37)</f>
        <v/>
      </c>
      <c r="C38" s="175">
        <f>SUM(C34:C37)</f>
        <v/>
      </c>
      <c r="D38" s="175">
        <f>SUM(D34:D37)</f>
        <v/>
      </c>
      <c r="E38" s="175">
        <f>SUM(E34:E37)</f>
        <v/>
      </c>
      <c r="F38" s="175">
        <f>SUM(F34:F37)</f>
        <v/>
      </c>
      <c r="G38" s="107" t="n">
        <v>289891.5</v>
      </c>
      <c r="H38" s="107" t="n">
        <v>302412.36</v>
      </c>
      <c r="I38" s="107" t="n">
        <v>312095.15</v>
      </c>
      <c r="J38" s="107" t="n">
        <v>320916.65</v>
      </c>
      <c r="K38" s="107" t="n">
        <v>329499.53</v>
      </c>
    </row>
    <row r="40" ht="15" customHeight="1" s="75">
      <c r="A40" s="78" t="inlineStr">
        <is>
          <t>PRODUCTION &amp; CREATIVE</t>
        </is>
      </c>
      <c r="B40" s="79" t="n"/>
      <c r="C40" s="79" t="n"/>
      <c r="D40" s="79" t="n"/>
      <c r="E40" s="79" t="n"/>
      <c r="F40" s="79" t="n"/>
    </row>
    <row r="41" ht="15" customHeight="1" s="75">
      <c r="A41" s="80" t="inlineStr">
        <is>
          <t>Costume &amp; prop refresh (annual scare season)</t>
        </is>
      </c>
      <c r="B41" s="166" t="n">
        <v>70000</v>
      </c>
      <c r="C41" s="166" t="n">
        <v>80000</v>
      </c>
      <c r="D41" s="166" t="n">
        <v>90000</v>
      </c>
      <c r="E41" s="166" t="n">
        <v>100000</v>
      </c>
      <c r="F41" s="166" t="n">
        <v>110000</v>
      </c>
      <c r="G41" s="103" t="n">
        <v>115000</v>
      </c>
      <c r="H41" s="103" t="n">
        <v>120000</v>
      </c>
      <c r="I41" s="103" t="n">
        <v>122000</v>
      </c>
      <c r="J41" s="103" t="n">
        <v>125000</v>
      </c>
      <c r="K41" s="103" t="n">
        <v>128000</v>
      </c>
    </row>
    <row r="42" ht="15" customHeight="1" s="75">
      <c r="A42" s="80" t="inlineStr">
        <is>
          <t>Set maintenance &amp; updates</t>
        </is>
      </c>
      <c r="B42" s="166" t="n">
        <v>35000</v>
      </c>
      <c r="C42" s="166" t="n">
        <v>40000</v>
      </c>
      <c r="D42" s="166" t="n">
        <v>45000</v>
      </c>
      <c r="E42" s="166" t="n">
        <v>50000</v>
      </c>
      <c r="F42" s="166" t="n">
        <v>55000</v>
      </c>
      <c r="G42" s="103" t="n">
        <v>58000</v>
      </c>
      <c r="H42" s="103" t="n">
        <v>60000</v>
      </c>
      <c r="I42" s="103" t="n">
        <v>62000</v>
      </c>
      <c r="J42" s="103" t="n">
        <v>65000</v>
      </c>
      <c r="K42" s="103" t="n">
        <v>68000</v>
      </c>
    </row>
    <row r="43" ht="15" customHeight="1" s="75">
      <c r="A43" s="80" t="inlineStr">
        <is>
          <t>Tech maintenance (AV, lighting, SFX)</t>
        </is>
      </c>
      <c r="B43" s="166" t="n">
        <v>30000</v>
      </c>
      <c r="C43" s="166" t="n">
        <v>33000</v>
      </c>
      <c r="D43" s="166" t="n">
        <v>36000</v>
      </c>
      <c r="E43" s="166" t="n">
        <v>39000</v>
      </c>
      <c r="F43" s="166" t="n">
        <v>42000</v>
      </c>
      <c r="G43" s="103" t="n">
        <v>44000</v>
      </c>
      <c r="H43" s="103" t="n">
        <v>46000</v>
      </c>
      <c r="I43" s="103" t="n">
        <v>48000</v>
      </c>
      <c r="J43" s="103" t="n">
        <v>50000</v>
      </c>
      <c r="K43" s="103" t="n">
        <v>52000</v>
      </c>
    </row>
    <row r="44" ht="15" customHeight="1" s="75">
      <c r="A44" s="80" t="inlineStr">
        <is>
          <t>Theatre / off-season production costs</t>
        </is>
      </c>
      <c r="B44" s="166" t="n">
        <v>0</v>
      </c>
      <c r="C44" s="166" t="n">
        <v>80000</v>
      </c>
      <c r="D44" s="166" t="n">
        <v>160000</v>
      </c>
      <c r="E44" s="166" t="n">
        <v>180000</v>
      </c>
      <c r="F44" s="166" t="n">
        <v>200000</v>
      </c>
      <c r="G44" s="103" t="n">
        <v>210000</v>
      </c>
      <c r="H44" s="103" t="n">
        <v>220000</v>
      </c>
      <c r="I44" s="103" t="n">
        <v>225000</v>
      </c>
      <c r="J44" s="103" t="n">
        <v>230000</v>
      </c>
      <c r="K44" s="103" t="n">
        <v>235000</v>
      </c>
    </row>
    <row r="45" ht="15" customHeight="1" s="75">
      <c r="A45" s="170" t="inlineStr">
        <is>
          <t xml:space="preserve">  Note: £0 in Y1 (no off-season programming)</t>
        </is>
      </c>
    </row>
    <row r="46" ht="15" customHeight="1" s="75">
      <c r="A46" s="83" t="inlineStr">
        <is>
          <t>Subtotal production &amp; creative</t>
        </is>
      </c>
      <c r="B46" s="175">
        <f>SUM(B41:B44)</f>
        <v/>
      </c>
      <c r="C46" s="175">
        <f>SUM(C41:C44)</f>
        <v/>
      </c>
      <c r="D46" s="175">
        <f>SUM(D41:D44)</f>
        <v/>
      </c>
      <c r="E46" s="175">
        <f>SUM(E41:E44)</f>
        <v/>
      </c>
      <c r="F46" s="175">
        <f>SUM(F41:F44)</f>
        <v/>
      </c>
      <c r="G46" s="107" t="n">
        <v>427000</v>
      </c>
      <c r="H46" s="107" t="n">
        <v>446000</v>
      </c>
      <c r="I46" s="107" t="n">
        <v>457000</v>
      </c>
      <c r="J46" s="107" t="n">
        <v>470000</v>
      </c>
      <c r="K46" s="107" t="n">
        <v>483000</v>
      </c>
    </row>
    <row r="48" ht="15" customHeight="1" s="75">
      <c r="A48" s="78" t="inlineStr">
        <is>
          <t>PROFESSIONAL &amp; ADMIN</t>
        </is>
      </c>
      <c r="B48" s="79" t="n"/>
      <c r="C48" s="79" t="n"/>
      <c r="D48" s="79" t="n"/>
      <c r="E48" s="79" t="n"/>
      <c r="F48" s="79" t="n"/>
    </row>
    <row r="49" ht="15" customHeight="1" s="75">
      <c r="A49" s="80" t="inlineStr">
        <is>
          <t>Accountancy &amp; audit</t>
        </is>
      </c>
      <c r="B49" s="166" t="n">
        <v>25000</v>
      </c>
      <c r="C49" s="166" t="n">
        <v>27000</v>
      </c>
      <c r="D49" s="166" t="n">
        <v>29000</v>
      </c>
      <c r="E49" s="166" t="n">
        <v>31000</v>
      </c>
      <c r="F49" s="166" t="n">
        <v>33000</v>
      </c>
      <c r="G49" s="103" t="n">
        <v>35000</v>
      </c>
      <c r="H49" s="103" t="n">
        <v>36000</v>
      </c>
      <c r="I49" s="103" t="n">
        <v>37000</v>
      </c>
      <c r="J49" s="103" t="n">
        <v>38000</v>
      </c>
      <c r="K49" s="103" t="n">
        <v>39000</v>
      </c>
    </row>
    <row r="50" ht="15" customHeight="1" s="75">
      <c r="A50" s="80" t="inlineStr">
        <is>
          <t>Legal fees</t>
        </is>
      </c>
      <c r="B50" s="166" t="n">
        <v>20000</v>
      </c>
      <c r="C50" s="166" t="n">
        <v>15000</v>
      </c>
      <c r="D50" s="166" t="n">
        <v>12000</v>
      </c>
      <c r="E50" s="166" t="n">
        <v>10000</v>
      </c>
      <c r="F50" s="166" t="n">
        <v>10000</v>
      </c>
      <c r="G50" s="103" t="n">
        <v>10000</v>
      </c>
      <c r="H50" s="103" t="n">
        <v>10000</v>
      </c>
      <c r="I50" s="103" t="n">
        <v>10000</v>
      </c>
      <c r="J50" s="103" t="n">
        <v>10000</v>
      </c>
      <c r="K50" s="103" t="n">
        <v>10000</v>
      </c>
    </row>
    <row r="51" ht="15" customHeight="1" s="75">
      <c r="A51" s="80" t="inlineStr">
        <is>
          <t>NED fees</t>
        </is>
      </c>
      <c r="B51" s="166" t="n">
        <v>13000</v>
      </c>
      <c r="C51" s="166" t="n">
        <v>13500</v>
      </c>
      <c r="D51" s="166" t="n">
        <v>14000</v>
      </c>
      <c r="E51" s="166" t="n">
        <v>14500</v>
      </c>
      <c r="F51" s="166" t="n">
        <v>15000</v>
      </c>
      <c r="G51" s="103" t="n">
        <v>15500</v>
      </c>
      <c r="H51" s="103" t="n">
        <v>16000</v>
      </c>
      <c r="I51" s="103" t="n">
        <v>16500</v>
      </c>
      <c r="J51" s="103" t="n">
        <v>17000</v>
      </c>
      <c r="K51" s="103" t="n">
        <v>17000</v>
      </c>
    </row>
    <row r="52" ht="15" customHeight="1" s="75">
      <c r="A52" s="80" t="inlineStr">
        <is>
          <t>IT &amp; software licences</t>
        </is>
      </c>
      <c r="B52" s="166" t="n">
        <v>18000</v>
      </c>
      <c r="C52" s="166" t="n">
        <v>20000</v>
      </c>
      <c r="D52" s="166" t="n">
        <v>22000</v>
      </c>
      <c r="E52" s="166" t="n">
        <v>24000</v>
      </c>
      <c r="F52" s="166" t="n">
        <v>26000</v>
      </c>
      <c r="G52" s="103" t="n">
        <v>28000</v>
      </c>
      <c r="H52" s="103" t="n">
        <v>30000</v>
      </c>
      <c r="I52" s="103" t="n">
        <v>32000</v>
      </c>
      <c r="J52" s="103" t="n">
        <v>33000</v>
      </c>
      <c r="K52" s="103" t="n">
        <v>34000</v>
      </c>
    </row>
    <row r="53" ht="15" customHeight="1" s="75">
      <c r="A53" s="80" t="inlineStr">
        <is>
          <t>Miscellaneous &amp; sundries</t>
        </is>
      </c>
      <c r="B53" s="166" t="n">
        <v>12000</v>
      </c>
      <c r="C53" s="166" t="n">
        <v>13000</v>
      </c>
      <c r="D53" s="166" t="n">
        <v>14000</v>
      </c>
      <c r="E53" s="166" t="n">
        <v>15000</v>
      </c>
      <c r="F53" s="166" t="n">
        <v>16000</v>
      </c>
      <c r="G53" s="103" t="n">
        <v>17000</v>
      </c>
      <c r="H53" s="103" t="n">
        <v>18000</v>
      </c>
      <c r="I53" s="103" t="n">
        <v>18000</v>
      </c>
      <c r="J53" s="103" t="n">
        <v>19000</v>
      </c>
      <c r="K53" s="103" t="n">
        <v>19000</v>
      </c>
    </row>
    <row r="54" ht="15" customHeight="1" s="75">
      <c r="A54" s="83" t="inlineStr">
        <is>
          <t>Subtotal professional &amp; admin</t>
        </is>
      </c>
      <c r="B54" s="175">
        <f>SUM(B49:B53)</f>
        <v/>
      </c>
      <c r="C54" s="175">
        <f>SUM(C49:C53)</f>
        <v/>
      </c>
      <c r="D54" s="175">
        <f>SUM(D49:D53)</f>
        <v/>
      </c>
      <c r="E54" s="175">
        <f>SUM(E49:E53)</f>
        <v/>
      </c>
      <c r="F54" s="175">
        <f>SUM(F49:F53)</f>
        <v/>
      </c>
      <c r="G54" s="107" t="n">
        <v>105500</v>
      </c>
      <c r="H54" s="107" t="n">
        <v>110000</v>
      </c>
      <c r="I54" s="107" t="n">
        <v>113500</v>
      </c>
      <c r="J54" s="107" t="n">
        <v>117000</v>
      </c>
      <c r="K54" s="107" t="n">
        <v>119000</v>
      </c>
    </row>
    <row r="56" ht="15" customHeight="1" s="75">
      <c r="A56" s="176" t="n"/>
      <c r="B56" s="176" t="n"/>
      <c r="C56" s="176" t="n"/>
      <c r="D56" s="176" t="n"/>
      <c r="E56" s="176" t="n"/>
      <c r="F56" s="176" t="n"/>
    </row>
    <row r="57" ht="15" customHeight="1" s="75">
      <c r="A57" s="177" t="inlineStr">
        <is>
          <t>TOTAL OPERATING COSTS</t>
        </is>
      </c>
      <c r="B57" s="178">
        <f>B13+B23+B31+B38+B46+B54</f>
        <v/>
      </c>
      <c r="C57" s="178">
        <f>C13+C23+C31+C38+C46+C54</f>
        <v/>
      </c>
      <c r="D57" s="178">
        <f>D13+D23+D31+D38+D46+D54</f>
        <v/>
      </c>
      <c r="E57" s="178">
        <f>E13+E23+E31+E38+E46+E54</f>
        <v/>
      </c>
      <c r="F57" s="178">
        <f>F13+F23+F31+F38+F46+F54</f>
        <v/>
      </c>
      <c r="G57" s="107" t="n">
        <v>2414391.5</v>
      </c>
      <c r="H57" s="107" t="n">
        <v>2503412.36</v>
      </c>
      <c r="I57" s="107" t="n">
        <v>2571595.15</v>
      </c>
      <c r="J57" s="107" t="n">
        <v>2642916.65</v>
      </c>
      <c r="K57" s="107" t="n">
        <v>2711499.53</v>
      </c>
    </row>
    <row r="58" ht="15" customHeight="1" s="75">
      <c r="A58" s="179" t="inlineStr">
        <is>
          <t>EBITDA</t>
        </is>
      </c>
      <c r="B58" s="180">
        <f>B4-B57</f>
        <v/>
      </c>
      <c r="C58" s="180">
        <f>C4-C57</f>
        <v/>
      </c>
      <c r="D58" s="180">
        <f>D4-D57</f>
        <v/>
      </c>
      <c r="E58" s="180">
        <f>E4-E57</f>
        <v/>
      </c>
      <c r="F58" s="180">
        <f>F4-F57</f>
        <v/>
      </c>
      <c r="G58" s="190" t="n">
        <v>868222.8600000003</v>
      </c>
      <c r="H58" s="190" t="n">
        <v>994083.6400000001</v>
      </c>
      <c r="I58" s="190" t="n">
        <v>1116837.61</v>
      </c>
      <c r="J58" s="190" t="n">
        <v>1240416.07</v>
      </c>
      <c r="K58" s="190" t="n">
        <v>1359915.47</v>
      </c>
    </row>
    <row r="59" ht="15" customHeight="1" s="75">
      <c r="A59" s="80" t="inlineStr">
        <is>
          <t>EBITDA Margin</t>
        </is>
      </c>
      <c r="B59" s="181">
        <f>IF(B4=0,0,B58/B4)</f>
        <v/>
      </c>
      <c r="C59" s="181">
        <f>IF(C4=0,0,C58/C4)</f>
        <v/>
      </c>
      <c r="D59" s="181">
        <f>IF(D4=0,0,D58/D4)</f>
        <v/>
      </c>
      <c r="E59" s="181">
        <f>IF(E4=0,0,E58/E4)</f>
        <v/>
      </c>
      <c r="F59" s="181">
        <f>IF(F4=0,0,F58/F4)</f>
        <v/>
      </c>
      <c r="G59" s="92" t="n">
        <v>0.264491275789094</v>
      </c>
      <c r="H59" s="92" t="n">
        <v>0.2842272414321561</v>
      </c>
      <c r="I59" s="92" t="n">
        <v>0.3027946238065622</v>
      </c>
      <c r="J59" s="92" t="n">
        <v>0.3194204976595464</v>
      </c>
      <c r="K59" s="92" t="n">
        <v>0.3340154393497101</v>
      </c>
    </row>
    <row r="60" ht="15" customHeight="1" s="75">
      <c r="A60" s="83" t="inlineStr">
        <is>
          <t>Cumulative EBITDA</t>
        </is>
      </c>
      <c r="B60" s="182">
        <f>B58</f>
        <v/>
      </c>
      <c r="C60" s="182">
        <f>B60+C58</f>
        <v/>
      </c>
      <c r="D60" s="182">
        <f>C60+D58</f>
        <v/>
      </c>
      <c r="E60" s="182">
        <f>D60+E58</f>
        <v/>
      </c>
      <c r="F60" s="182">
        <f>E60+F58</f>
        <v/>
      </c>
      <c r="G60" s="190" t="n">
        <v>278444.1779999994</v>
      </c>
      <c r="H60" s="190" t="n">
        <v>1272527.818</v>
      </c>
      <c r="I60" s="190" t="n">
        <v>2389365.427999999</v>
      </c>
      <c r="J60" s="190" t="n">
        <v>3629781.497999999</v>
      </c>
      <c r="K60" s="190" t="n">
        <v>4989696.967999998</v>
      </c>
    </row>
    <row r="62" ht="15" customHeight="1" s="75">
      <c r="A62" s="78" t="inlineStr">
        <is>
          <t>EXPANSION CapEx (separate from operating costs)</t>
        </is>
      </c>
      <c r="B62" s="79" t="n"/>
      <c r="C62" s="79" t="n"/>
      <c r="D62" s="79" t="n"/>
      <c r="E62" s="79" t="n"/>
      <c r="F62" s="79" t="n"/>
    </row>
    <row r="63" ht="15" customHeight="1" s="75">
      <c r="A63" s="80" t="inlineStr">
        <is>
          <t>New maze addition (from Year 2)</t>
        </is>
      </c>
      <c r="B63" s="166" t="n">
        <v>0</v>
      </c>
      <c r="C63" s="166" t="n">
        <v>1300000</v>
      </c>
      <c r="D63" s="166" t="n">
        <v>1300000</v>
      </c>
      <c r="E63" s="166" t="n">
        <v>1300000</v>
      </c>
      <c r="F63" s="166" t="n">
        <v>1300000</v>
      </c>
      <c r="G63" s="103" t="n">
        <v>1300000</v>
      </c>
      <c r="H63" s="103" t="n">
        <v>0</v>
      </c>
      <c r="I63" s="103" t="n">
        <v>1300000</v>
      </c>
      <c r="J63" s="103" t="n">
        <v>0</v>
      </c>
      <c r="K63" s="103" t="n">
        <v>1300000</v>
      </c>
    </row>
    <row r="64" ht="15" customHeight="1" s="75">
      <c r="A64" s="80" t="inlineStr">
        <is>
          <t>Escape room retrofit (Year 2 only)</t>
        </is>
      </c>
      <c r="B64" s="166" t="n">
        <v>0</v>
      </c>
      <c r="C64" s="166" t="n">
        <v>120000</v>
      </c>
      <c r="D64" s="166" t="n">
        <v>0</v>
      </c>
      <c r="E64" s="166" t="n">
        <v>0</v>
      </c>
      <c r="F64" s="166" t="n">
        <v>0</v>
      </c>
      <c r="G64" s="103" t="n">
        <v>0</v>
      </c>
      <c r="H64" s="103" t="n">
        <v>0</v>
      </c>
      <c r="I64" s="103" t="n">
        <v>0</v>
      </c>
      <c r="J64" s="103" t="n">
        <v>0</v>
      </c>
      <c r="K64" s="103" t="n">
        <v>0</v>
      </c>
    </row>
    <row r="65" ht="15" customHeight="1" s="75">
      <c r="A65" s="80" t="inlineStr">
        <is>
          <t>EBITDA after expansion CapEx</t>
        </is>
      </c>
      <c r="B65" s="182">
        <f>B58-B63-B64</f>
        <v/>
      </c>
      <c r="C65" s="182">
        <f>C58-C63-C64</f>
        <v/>
      </c>
      <c r="D65" s="182">
        <f>D58-D63-D64</f>
        <v/>
      </c>
      <c r="E65" s="182">
        <f>E58-E63-E64</f>
        <v/>
      </c>
      <c r="F65" s="182">
        <f>F58-F63-F64</f>
        <v/>
      </c>
      <c r="G65" s="190" t="n">
        <v>-431777.1399999997</v>
      </c>
      <c r="H65" s="190" t="n">
        <v>994083.6400000001</v>
      </c>
      <c r="I65" s="190" t="n">
        <v>-183162.3900000001</v>
      </c>
      <c r="J65" s="190" t="n">
        <v>1240416.07</v>
      </c>
      <c r="K65" s="190" t="n">
        <v>59915.46999999974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2026-02-27T02:29:47Z</dcterms:created>
  <dcterms:modified xmlns:dcterms="http://purl.org/dc/terms/" xmlns:xsi="http://www.w3.org/2001/XMLSchema-instance" xsi:type="dcterms:W3CDTF">2026-02-27T12:31:55Z</dcterms:modified>
  <cp:revision>0</cp:revision>
</cp:coreProperties>
</file>